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hna.Kb\Downloads\"/>
    </mc:Choice>
  </mc:AlternateContent>
  <xr:revisionPtr revIDLastSave="0" documentId="13_ncr:1_{47778A9D-C11C-45CE-94CD-D60DE652B510}" xr6:coauthVersionLast="47" xr6:coauthVersionMax="47" xr10:uidLastSave="{00000000-0000-0000-0000-000000000000}"/>
  <bookViews>
    <workbookView xWindow="-120" yWindow="-120" windowWidth="29040" windowHeight="17520" xr2:uid="{5EE79174-9527-4245-A49A-EAC3271FD60F}"/>
  </bookViews>
  <sheets>
    <sheet name="Availability" sheetId="2" r:id="rId1"/>
    <sheet name="Flex Office Spaces" sheetId="1" r:id="rId2"/>
    <sheet name="Contacts" sheetId="3" r:id="rId3"/>
    <sheet name="Inventory Update" sheetId="4" r:id="rId4"/>
    <sheet name="Min-Max" sheetId="5" r:id="rId5"/>
  </sheets>
  <definedNames>
    <definedName name="_xlnm._FilterDatabase" localSheetId="0" hidden="1">Availability!$A$1:$AE$532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4" i="3"/>
</calcChain>
</file>

<file path=xl/sharedStrings.xml><?xml version="1.0" encoding="utf-8"?>
<sst xmlns="http://schemas.openxmlformats.org/spreadsheetml/2006/main" count="4410" uniqueCount="1083">
  <si>
    <t xml:space="preserve">1 Mn sft + portolio , multi city presence </t>
  </si>
  <si>
    <t>2a</t>
  </si>
  <si>
    <t xml:space="preserve">Local operator , sizable portfolio in Bangalore + expaning in other cities </t>
  </si>
  <si>
    <t>2b</t>
  </si>
  <si>
    <t xml:space="preserve">Local operator expanding In blore , smaller foot print </t>
  </si>
  <si>
    <t xml:space="preserve">Others </t>
  </si>
  <si>
    <t>Builder entity</t>
  </si>
  <si>
    <t xml:space="preserve">Felx solution offered by builders </t>
  </si>
  <si>
    <t>Availability Update Team 2025</t>
  </si>
  <si>
    <t xml:space="preserve">Brokers Pursuing Supply </t>
  </si>
  <si>
    <t xml:space="preserve">Sl. No </t>
  </si>
  <si>
    <t xml:space="preserve">Operator </t>
  </si>
  <si>
    <t xml:space="preserve">Category </t>
  </si>
  <si>
    <t>IWG (Buying Instant Group)</t>
  </si>
  <si>
    <t>Mahesh , Ashwath</t>
  </si>
  <si>
    <t>Regus</t>
  </si>
  <si>
    <t>Cowrks</t>
  </si>
  <si>
    <t>Esha</t>
  </si>
  <si>
    <t>Spaces</t>
  </si>
  <si>
    <t xml:space="preserve">Corporate Edge </t>
  </si>
  <si>
    <t>Mayank</t>
  </si>
  <si>
    <t>Mayank Prasannao</t>
  </si>
  <si>
    <t xml:space="preserve">Indiqube </t>
  </si>
  <si>
    <t>Veera</t>
  </si>
  <si>
    <t xml:space="preserve">Veera Prasad/ Tannu Malik/Nilita Singhania </t>
  </si>
  <si>
    <t>Simpliwork</t>
  </si>
  <si>
    <t>Mitra</t>
  </si>
  <si>
    <t xml:space="preserve">Mitrajit </t>
  </si>
  <si>
    <t xml:space="preserve">Awfis </t>
  </si>
  <si>
    <t>Satheesh , John</t>
  </si>
  <si>
    <t>Veera Prasad</t>
  </si>
  <si>
    <t>Isprout</t>
  </si>
  <si>
    <t xml:space="preserve">Satheesh, John </t>
  </si>
  <si>
    <t>Neha Agarwal</t>
  </si>
  <si>
    <t xml:space="preserve">Smartworks </t>
  </si>
  <si>
    <t>Abhilash</t>
  </si>
  <si>
    <t>Abhilash Rao, Aditya Modi</t>
  </si>
  <si>
    <t>91 Springboard</t>
  </si>
  <si>
    <t>Shwetha, Satheesh</t>
  </si>
  <si>
    <t xml:space="preserve">Tannu / Saurabh </t>
  </si>
  <si>
    <t xml:space="preserve">Tablespace </t>
  </si>
  <si>
    <t>Veera, Nikita</t>
  </si>
  <si>
    <t xml:space="preserve">Ramita Arora / Veera/Nikita </t>
  </si>
  <si>
    <t>Redbricks</t>
  </si>
  <si>
    <t xml:space="preserve">Tannu , Nikita </t>
  </si>
  <si>
    <t>WeWork</t>
  </si>
  <si>
    <t>Arvind</t>
  </si>
  <si>
    <t xml:space="preserve">Vilma, Arvind, Nikita </t>
  </si>
  <si>
    <t>The Executive centre</t>
  </si>
  <si>
    <t>315workavenue</t>
  </si>
  <si>
    <t xml:space="preserve">ASB Bridge </t>
  </si>
  <si>
    <t xml:space="preserve">Ataura Business Centre </t>
  </si>
  <si>
    <t>Collab24</t>
  </si>
  <si>
    <t xml:space="preserve">Capsule </t>
  </si>
  <si>
    <t>Ginserv</t>
  </si>
  <si>
    <t>CRE Spacez</t>
  </si>
  <si>
    <t>Anna Phillip</t>
  </si>
  <si>
    <t xml:space="preserve">Energen </t>
  </si>
  <si>
    <t>Think Hub</t>
  </si>
  <si>
    <t>Hoda</t>
  </si>
  <si>
    <t xml:space="preserve">Unispace </t>
  </si>
  <si>
    <t>Sayoni</t>
  </si>
  <si>
    <t>Startopia</t>
  </si>
  <si>
    <t xml:space="preserve">Akanksha </t>
  </si>
  <si>
    <t>Hutz</t>
  </si>
  <si>
    <t>Sujith</t>
  </si>
  <si>
    <t>The Next Storey</t>
  </si>
  <si>
    <t>synergy</t>
  </si>
  <si>
    <t xml:space="preserve">Veera </t>
  </si>
  <si>
    <t>Incubex</t>
  </si>
  <si>
    <t xml:space="preserve"> John</t>
  </si>
  <si>
    <t>Swetha</t>
  </si>
  <si>
    <t xml:space="preserve">Enzyme </t>
  </si>
  <si>
    <t>Shrey, Archana</t>
  </si>
  <si>
    <t xml:space="preserve">Shrey </t>
  </si>
  <si>
    <t xml:space="preserve">BHIVE </t>
  </si>
  <si>
    <t>Priya George</t>
  </si>
  <si>
    <t xml:space="preserve">Ramita Arora </t>
  </si>
  <si>
    <t>Novel Business Centre</t>
  </si>
  <si>
    <t>Innov8</t>
  </si>
  <si>
    <t xml:space="preserve">Satheesh, Rashmi </t>
  </si>
  <si>
    <t xml:space="preserve">Rashmi Roy </t>
  </si>
  <si>
    <t>Skootr</t>
  </si>
  <si>
    <t>Manoj</t>
  </si>
  <si>
    <t>Vilma, Manoj</t>
  </si>
  <si>
    <t>Spatium</t>
  </si>
  <si>
    <t xml:space="preserve">Urban Vault </t>
  </si>
  <si>
    <t>Shwetha</t>
  </si>
  <si>
    <t>Swetha/ Aditya Modi</t>
  </si>
  <si>
    <t>Workafella</t>
  </si>
  <si>
    <t>Abhilash Rao</t>
  </si>
  <si>
    <t>Workshaala</t>
  </si>
  <si>
    <t>Archana modi</t>
  </si>
  <si>
    <t xml:space="preserve">Archana Yadav/ Abhilash/ Aditya Modi </t>
  </si>
  <si>
    <t xml:space="preserve">incuspaze </t>
  </si>
  <si>
    <t>Tannu</t>
  </si>
  <si>
    <t xml:space="preserve">Mitrajit  Bhowmik, Joihn David , Tannu </t>
  </si>
  <si>
    <t>Attic Spaces</t>
  </si>
  <si>
    <t>Kenneth</t>
  </si>
  <si>
    <t>Aurbis</t>
  </si>
  <si>
    <t>Bizzhub</t>
  </si>
  <si>
    <t xml:space="preserve">Goodworks Coworks </t>
  </si>
  <si>
    <t>Shameer</t>
  </si>
  <si>
    <t>Swetha , Shrey</t>
  </si>
  <si>
    <t>Hanto</t>
  </si>
  <si>
    <t xml:space="preserve">Aditya Modi, Krishna </t>
  </si>
  <si>
    <t>Hustlehub</t>
  </si>
  <si>
    <t>Godson</t>
  </si>
  <si>
    <t>Clayworks</t>
  </si>
  <si>
    <t>Mitrajit Bhpowmik</t>
  </si>
  <si>
    <t xml:space="preserve">Quest Office </t>
  </si>
  <si>
    <t>Ramita</t>
  </si>
  <si>
    <t>Obeya</t>
  </si>
  <si>
    <t xml:space="preserve">Veera Prasad </t>
  </si>
  <si>
    <t xml:space="preserve">Workden </t>
  </si>
  <si>
    <t>Workaddress</t>
  </si>
  <si>
    <t xml:space="preserve">2gethr </t>
  </si>
  <si>
    <t xml:space="preserve">Swetha </t>
  </si>
  <si>
    <t xml:space="preserve">365 Shared Spaces </t>
  </si>
  <si>
    <t xml:space="preserve">Trend India </t>
  </si>
  <si>
    <t xml:space="preserve">Vilma </t>
  </si>
  <si>
    <t>Bflex _Bagmane</t>
  </si>
  <si>
    <t>Buzzworks_Brigade</t>
  </si>
  <si>
    <t>Ikeva</t>
  </si>
  <si>
    <t>Pragya </t>
  </si>
  <si>
    <t>Kalyani Aura</t>
  </si>
  <si>
    <t>Modi</t>
  </si>
  <si>
    <t>M | X _RMZ</t>
  </si>
  <si>
    <t>Meenu</t>
  </si>
  <si>
    <t xml:space="preserve">Mangalam Business Centre </t>
  </si>
  <si>
    <t>Mantri Cowrking</t>
  </si>
  <si>
    <t>MOSS_IBC</t>
  </si>
  <si>
    <t xml:space="preserve">Sanctuary - godrej </t>
  </si>
  <si>
    <t xml:space="preserve">Jithan </t>
  </si>
  <si>
    <t xml:space="preserve">Sumadhura _Workship managed office solutions </t>
  </si>
  <si>
    <t xml:space="preserve">The Hive </t>
  </si>
  <si>
    <t>Tannu , Veera</t>
  </si>
  <si>
    <t xml:space="preserve">Mayank Prasannao, Mitrajit </t>
  </si>
  <si>
    <t>Gopalan Coworks</t>
  </si>
  <si>
    <t>Luxworks - Primeco</t>
  </si>
  <si>
    <t xml:space="preserve">Symbyont </t>
  </si>
  <si>
    <t xml:space="preserve">Abhilash </t>
  </si>
  <si>
    <t>EFI</t>
  </si>
  <si>
    <t xml:space="preserve">Mayank, Mitrajit </t>
  </si>
  <si>
    <t>My Branch</t>
  </si>
  <si>
    <t xml:space="preserve">Workie </t>
  </si>
  <si>
    <t>Vestian</t>
  </si>
  <si>
    <t>Competiion</t>
  </si>
  <si>
    <t xml:space="preserve">Neocube </t>
  </si>
  <si>
    <t>myHQ</t>
  </si>
  <si>
    <t>Competition</t>
  </si>
  <si>
    <t>Sr No</t>
  </si>
  <si>
    <t>City</t>
  </si>
  <si>
    <t>Operator
(As per "All Operator")</t>
  </si>
  <si>
    <t>Property</t>
  </si>
  <si>
    <t xml:space="preserve">Grade </t>
  </si>
  <si>
    <t>Micro-market</t>
  </si>
  <si>
    <t>Location within Micro-market</t>
  </si>
  <si>
    <t>Back-to-back or Speculative</t>
  </si>
  <si>
    <t>Area
(In sf)</t>
  </si>
  <si>
    <t>Billable seats
(Nos)</t>
  </si>
  <si>
    <t>Occupancy 
(%)</t>
  </si>
  <si>
    <t>Density/ billable seat
(x sf/ seat)</t>
  </si>
  <si>
    <t>Bangalore</t>
  </si>
  <si>
    <t>2gethr</t>
  </si>
  <si>
    <t>Mantri Commercio </t>
  </si>
  <si>
    <t>A</t>
  </si>
  <si>
    <t>ORR</t>
  </si>
  <si>
    <t xml:space="preserve">Marathalli </t>
  </si>
  <si>
    <t>Speculative</t>
  </si>
  <si>
    <t>2gethr@HSR</t>
  </si>
  <si>
    <t>B</t>
  </si>
  <si>
    <t>HSR</t>
  </si>
  <si>
    <t>Agrahara  </t>
  </si>
  <si>
    <t> 600</t>
  </si>
  <si>
    <t>Prestige Poseidon  </t>
  </si>
  <si>
    <t>CBD</t>
  </si>
  <si>
    <t> Richmond Road </t>
  </si>
  <si>
    <t> 640</t>
  </si>
  <si>
    <t>315Workavenue</t>
  </si>
  <si>
    <t>KRM 1 - Salarpuria Tower II</t>
  </si>
  <si>
    <t>SS</t>
  </si>
  <si>
    <t>Adugodi</t>
  </si>
  <si>
    <t xml:space="preserve">KRM 2 </t>
  </si>
  <si>
    <t xml:space="preserve">Koramangala </t>
  </si>
  <si>
    <t>KRM 3 -Siddhivinayak Tower</t>
  </si>
  <si>
    <t xml:space="preserve">KRM 4 </t>
  </si>
  <si>
    <t xml:space="preserve">HSR 1 </t>
  </si>
  <si>
    <t xml:space="preserve">HSR 2 </t>
  </si>
  <si>
    <t>HSR 3</t>
  </si>
  <si>
    <t>HSR 4 - Krimson Square</t>
  </si>
  <si>
    <t xml:space="preserve">EC 1 </t>
  </si>
  <si>
    <t>PS</t>
  </si>
  <si>
    <t>Electronics City Phase 1</t>
  </si>
  <si>
    <t>ORR 1 -Salapuria Supreme</t>
  </si>
  <si>
    <t>Devarabisanahalli</t>
  </si>
  <si>
    <t>ORR 2 ( hallmark)-Salarpuriya Hallmark</t>
  </si>
  <si>
    <t>GRTP 1  ( whitefield 1)-Salarpuria GR Tech park</t>
  </si>
  <si>
    <t>PE</t>
  </si>
  <si>
    <t xml:space="preserve"> Whitefield</t>
  </si>
  <si>
    <t>Brigade Metropolis ( whitefield 2)-Brigade Metropolis</t>
  </si>
  <si>
    <t xml:space="preserve"> Mahadevapura</t>
  </si>
  <si>
    <t>Rathi Legacy ( whitefield 3)</t>
  </si>
  <si>
    <t xml:space="preserve"> Kadugodi</t>
  </si>
  <si>
    <t>CBD 1 -Incubex Nestavera Spaces</t>
  </si>
  <si>
    <t xml:space="preserve"> Langford Rd</t>
  </si>
  <si>
    <t>CBD 2 -Kothari Pearl</t>
  </si>
  <si>
    <t>Ashok Nagar</t>
  </si>
  <si>
    <t>NB</t>
  </si>
  <si>
    <t>Hebbal</t>
  </si>
  <si>
    <t xml:space="preserve">Nagwara </t>
  </si>
  <si>
    <t>HBR Layout</t>
  </si>
  <si>
    <t>Bennerghatta  ( Salarpuria Infinity)</t>
  </si>
  <si>
    <t>Bannerghatta Road</t>
  </si>
  <si>
    <t>Indiranagar  (Adonis)</t>
  </si>
  <si>
    <t>SE</t>
  </si>
  <si>
    <t>OMR</t>
  </si>
  <si>
    <t>Indiranagar  (IND 2 - 80 Ft Road )</t>
  </si>
  <si>
    <t>New Tippasandra</t>
  </si>
  <si>
    <t>GK Complex (Domlur)</t>
  </si>
  <si>
    <t>Domlur</t>
  </si>
  <si>
    <t>Khenny Golf View - BLD 1</t>
  </si>
  <si>
    <t>Khenny Golf View - BLD 2</t>
  </si>
  <si>
    <t>Rathi Legacy - Rohan Tech Park</t>
  </si>
  <si>
    <t xml:space="preserve">Whitefield </t>
  </si>
  <si>
    <t xml:space="preserve">365 Shared Spces </t>
  </si>
  <si>
    <t xml:space="preserve">Nova </t>
  </si>
  <si>
    <t>C</t>
  </si>
  <si>
    <t>Sector 6</t>
  </si>
  <si>
    <t>Inviosion</t>
  </si>
  <si>
    <t>Delta</t>
  </si>
  <si>
    <t>Sector 7</t>
  </si>
  <si>
    <t>Infinity</t>
  </si>
  <si>
    <t>Sector 5</t>
  </si>
  <si>
    <t>91 springboard</t>
  </si>
  <si>
    <t>Gopala Krishna Complex</t>
  </si>
  <si>
    <t>Residency Road</t>
  </si>
  <si>
    <t>Trifecto Adatto</t>
  </si>
  <si>
    <t>ITPL Main Road</t>
  </si>
  <si>
    <t>Dharuni Complex</t>
  </si>
  <si>
    <t>Mahadevpura</t>
  </si>
  <si>
    <t>George Thangaiah</t>
  </si>
  <si>
    <t>The Pavillion</t>
  </si>
  <si>
    <t>Padmavathi Complex</t>
  </si>
  <si>
    <t>Park square mall</t>
  </si>
  <si>
    <t>Attic Space</t>
  </si>
  <si>
    <t>Attic Space Legacy</t>
  </si>
  <si>
    <t>Bellandur</t>
  </si>
  <si>
    <t>B2B</t>
  </si>
  <si>
    <t>Attic Space - Drona</t>
  </si>
  <si>
    <t>Attic Space- Karna</t>
  </si>
  <si>
    <t>Attic Space Chanakya</t>
  </si>
  <si>
    <t>Attic Space - Moneta</t>
  </si>
  <si>
    <t>Attic Space - Lotus</t>
  </si>
  <si>
    <t>Attic Space - Trishul</t>
  </si>
  <si>
    <t>Smart Square</t>
  </si>
  <si>
    <t>Indiranagar 1st Stage</t>
  </si>
  <si>
    <t>Attic Space - Sarvatra</t>
  </si>
  <si>
    <t>Krishvi Aspire</t>
  </si>
  <si>
    <t>CMH Road</t>
  </si>
  <si>
    <t>Attic Space - Greenage</t>
  </si>
  <si>
    <t>HAL 2nd Stage</t>
  </si>
  <si>
    <t>Attic Space - Symbiosis</t>
  </si>
  <si>
    <t>Shreyas Plaza</t>
  </si>
  <si>
    <t>Attic Space - MM Enclave</t>
  </si>
  <si>
    <t>HAL 3rd Stage</t>
  </si>
  <si>
    <t>Aurbis Business Parks</t>
  </si>
  <si>
    <t>Aurbis ORR</t>
  </si>
  <si>
    <t>Aurbis Prime</t>
  </si>
  <si>
    <t>Aurbis Concord</t>
  </si>
  <si>
    <t>CBD, Rcihmond Road</t>
  </si>
  <si>
    <t>Aurbis Connective</t>
  </si>
  <si>
    <t>Whitefield</t>
  </si>
  <si>
    <t>AWFIS</t>
  </si>
  <si>
    <t>Raheja, MG Road</t>
  </si>
  <si>
    <t xml:space="preserve">CBD </t>
  </si>
  <si>
    <t>MG Road</t>
  </si>
  <si>
    <t>DERBI-Hasur Road</t>
  </si>
  <si>
    <t xml:space="preserve">Hosur road </t>
  </si>
  <si>
    <t>Samrah Plaza - St Marks Rd</t>
  </si>
  <si>
    <t xml:space="preserve">St Marks Road </t>
  </si>
  <si>
    <t>Lavelle 909 8th Floor</t>
  </si>
  <si>
    <t xml:space="preserve">Lavelle </t>
  </si>
  <si>
    <t>Residency Road - Sabari Complex</t>
  </si>
  <si>
    <t xml:space="preserve">Residency road </t>
  </si>
  <si>
    <t>Samrah Plaza - St Marks Rd 4th Floor</t>
  </si>
  <si>
    <t>Mission road</t>
  </si>
  <si>
    <t>Kirloskar Business Park</t>
  </si>
  <si>
    <t xml:space="preserve">Hebbal </t>
  </si>
  <si>
    <t>Prestige Shantiniketan - I</t>
  </si>
  <si>
    <t>Soul Space Paradigm</t>
  </si>
  <si>
    <t>Prestige Blue Chip (2nd flr) - I</t>
  </si>
  <si>
    <t>Prestige Tech Park-I- 6th Floor Valence</t>
  </si>
  <si>
    <t>Kadubisanahalli</t>
  </si>
  <si>
    <t>Vajram ORR (Grnd Flr) - I</t>
  </si>
  <si>
    <t>Prestige UB City - I (4th &amp; 5th)</t>
  </si>
  <si>
    <t xml:space="preserve">Vittal millya road </t>
  </si>
  <si>
    <t>Prestige Blue Chip (1st flr) - II</t>
  </si>
  <si>
    <t>Prestige Shantiniketan - II</t>
  </si>
  <si>
    <t>Lido Mall</t>
  </si>
  <si>
    <t xml:space="preserve">Ulsoor </t>
  </si>
  <si>
    <t>Vajram ORR (1st Flr) - II</t>
  </si>
  <si>
    <t>Dot Com</t>
  </si>
  <si>
    <t>Davanam Portico-I</t>
  </si>
  <si>
    <t>Madiwala</t>
  </si>
  <si>
    <t>Residency Square</t>
  </si>
  <si>
    <t xml:space="preserve">Richmond road </t>
  </si>
  <si>
    <t xml:space="preserve">Vajram ORR (2nd Flr) - III </t>
  </si>
  <si>
    <t>Prestige Shantiniketan - III</t>
  </si>
  <si>
    <t>Prestige Tech Park-II-1st Floor Mercury</t>
  </si>
  <si>
    <t>Brigade Metro-I</t>
  </si>
  <si>
    <t xml:space="preserve">Mahadevpura </t>
  </si>
  <si>
    <t>Brigade Metro-II</t>
  </si>
  <si>
    <t>GR Tech Park</t>
  </si>
  <si>
    <t xml:space="preserve">ITPL Mainroad </t>
  </si>
  <si>
    <t>Davanam Portico-II</t>
  </si>
  <si>
    <t>Bannerghatta</t>
  </si>
  <si>
    <t>The Estate</t>
  </si>
  <si>
    <t xml:space="preserve">Dikenson road </t>
  </si>
  <si>
    <t>Vista Hebbal</t>
  </si>
  <si>
    <t xml:space="preserve">Bellary road </t>
  </si>
  <si>
    <t>Prestige Tech Park-V-7th Jupiter</t>
  </si>
  <si>
    <t>Prestige Tech Park-III-9th Venus</t>
  </si>
  <si>
    <t>Prestige Trinity</t>
  </si>
  <si>
    <t>Zonasha Frontier-I</t>
  </si>
  <si>
    <t xml:space="preserve">Bannerghatta </t>
  </si>
  <si>
    <t>Prestige Tech Park-IV-8th Venus</t>
  </si>
  <si>
    <t>Manyata TP - MFAR Greenheart</t>
  </si>
  <si>
    <t>Nagawara</t>
  </si>
  <si>
    <t>Godrej Bangalore</t>
  </si>
  <si>
    <t xml:space="preserve">North bangalore </t>
  </si>
  <si>
    <t>Sumadhura Capitol</t>
  </si>
  <si>
    <t>Bflex</t>
  </si>
  <si>
    <t>Bagmane World Technology Centre - Opal</t>
  </si>
  <si>
    <t>Bagmane Capital Tech Park - Angkor West</t>
  </si>
  <si>
    <t>Bagmane Tech Park - Commerz</t>
  </si>
  <si>
    <t>cv RAMAN NAGAR</t>
  </si>
  <si>
    <t>Bagmane Solarium City</t>
  </si>
  <si>
    <t>Bhive</t>
  </si>
  <si>
    <t>Total Environment</t>
  </si>
  <si>
    <t>Century Towers</t>
  </si>
  <si>
    <t>GarudaBhive Workspace</t>
  </si>
  <si>
    <t>BTM</t>
  </si>
  <si>
    <t>Bhive Premium HSR campus Block A</t>
  </si>
  <si>
    <t>Bhive Premium HSR campus Block B</t>
  </si>
  <si>
    <t>Bhive Premium Whitefield Campus</t>
  </si>
  <si>
    <t>Bhive Platinum Indiranagar</t>
  </si>
  <si>
    <t>Indiranagar</t>
  </si>
  <si>
    <t>Bhive Platinum HSR Sector 6</t>
  </si>
  <si>
    <t>Bhive Platinum Old Airport Road</t>
  </si>
  <si>
    <t>Old Airport Road</t>
  </si>
  <si>
    <t>Bhive Premium Kormangala</t>
  </si>
  <si>
    <t>Bhive Premium HSR Sector 6</t>
  </si>
  <si>
    <t>Bhive Premium Brigade Metropolis summit A</t>
  </si>
  <si>
    <t>Mahadevapura</t>
  </si>
  <si>
    <t>Bhive Premium Brigade Metropolis summit B</t>
  </si>
  <si>
    <t>Bhive Premium Church Street</t>
  </si>
  <si>
    <t>Church Street</t>
  </si>
  <si>
    <t>Bhive Premium Ramanashree</t>
  </si>
  <si>
    <t>Bhive Premium Address Maker</t>
  </si>
  <si>
    <t>Bhive Premium Jayanagar</t>
  </si>
  <si>
    <t>Jayanagar</t>
  </si>
  <si>
    <t>Honeykomb HSR 27th main</t>
  </si>
  <si>
    <t>Honeykomb MG Road</t>
  </si>
  <si>
    <t>Honeykomb HSR Sector 6</t>
  </si>
  <si>
    <t>Honeykomb Bhive Indiranagar</t>
  </si>
  <si>
    <t>Bhive Workspace HSR 27th Main</t>
  </si>
  <si>
    <t>Bhive Wokspace Kormanagla 5th Block</t>
  </si>
  <si>
    <t>Bhive Workspace MG Road(Near Trinity Metro Station)</t>
  </si>
  <si>
    <t>Bhive Workspace HSR Sector 6 Service Road Zone A</t>
  </si>
  <si>
    <t>Bhive Workspace HSR Sector 6 Service Road Zone B</t>
  </si>
  <si>
    <t>JP Nagar</t>
  </si>
  <si>
    <t>BuzzWorks</t>
  </si>
  <si>
    <t>Brigade Summit</t>
  </si>
  <si>
    <t>Garudacharpalaya</t>
  </si>
  <si>
    <t>Brigade Tech Gardens</t>
  </si>
  <si>
    <t>Brookefield</t>
  </si>
  <si>
    <t xml:space="preserve">Brigade Signature Towers </t>
  </si>
  <si>
    <t>Kattamalanur</t>
  </si>
  <si>
    <t>Brigade Techpark</t>
  </si>
  <si>
    <t>Pattandur Agrahara</t>
  </si>
  <si>
    <t xml:space="preserve">WTC Annexe </t>
  </si>
  <si>
    <t>SNW</t>
  </si>
  <si>
    <t>Rajajinagar - Malleshwaram</t>
  </si>
  <si>
    <t>Brigade Gateway SkyBridge</t>
  </si>
  <si>
    <t>Brigade Twin Towers</t>
  </si>
  <si>
    <t>Goraguntepalya</t>
  </si>
  <si>
    <t>Brigade Senate 1 Wing 2</t>
  </si>
  <si>
    <t>PN</t>
  </si>
  <si>
    <t>Brigade Road</t>
  </si>
  <si>
    <t xml:space="preserve">Capsules </t>
  </si>
  <si>
    <t>Shubharam complex</t>
  </si>
  <si>
    <t>Mahanandi Plaza</t>
  </si>
  <si>
    <t>Opus</t>
  </si>
  <si>
    <t>Richmond Road</t>
  </si>
  <si>
    <t>Shobha Alexandar Plaza</t>
  </si>
  <si>
    <t>Commissariat Road</t>
  </si>
  <si>
    <t>Independent Building</t>
  </si>
  <si>
    <t>South End Circle</t>
  </si>
  <si>
    <t>Clayworks 371</t>
  </si>
  <si>
    <t>Clayworks 5B</t>
  </si>
  <si>
    <t>Mass Complex</t>
  </si>
  <si>
    <t>Create Campus</t>
  </si>
  <si>
    <t>Clayworks Shankara</t>
  </si>
  <si>
    <t>Kanakpura Road</t>
  </si>
  <si>
    <t>Vaishnavi The Residency</t>
  </si>
  <si>
    <t>Clayworks - 4B</t>
  </si>
  <si>
    <t>Collab 24</t>
  </si>
  <si>
    <t>Moksha Mansion</t>
  </si>
  <si>
    <t xml:space="preserve">Regent Gateway </t>
  </si>
  <si>
    <t>whitefield</t>
  </si>
  <si>
    <t>Prestige Trade Towers</t>
  </si>
  <si>
    <t>Race Course Road</t>
  </si>
  <si>
    <t>Prestige UB City</t>
  </si>
  <si>
    <t xml:space="preserve">Vittal Malya Road </t>
  </si>
  <si>
    <t xml:space="preserve">ITC Greens </t>
  </si>
  <si>
    <t xml:space="preserve">Off CBD </t>
  </si>
  <si>
    <t>Banaswadi</t>
  </si>
  <si>
    <t>COWRKS Bellandur, Ecoworld T6A</t>
  </si>
  <si>
    <t xml:space="preserve">Bellandur </t>
  </si>
  <si>
    <t>COWRKS Bellandur, Ecoworld T6B</t>
  </si>
  <si>
    <t xml:space="preserve">COWRKS New Indiranagar, Infinity </t>
  </si>
  <si>
    <t>Ulsoor</t>
  </si>
  <si>
    <t>COWRKS Whitefield, NXT T1B</t>
  </si>
  <si>
    <t xml:space="preserve">COWRKS Residency Road, Purva Premier </t>
  </si>
  <si>
    <t>COWRKS Bellandur, Ecospace T1B</t>
  </si>
  <si>
    <t>COWRKS Centennial</t>
  </si>
  <si>
    <t xml:space="preserve">COWRKS Yelahanka, Northstar </t>
  </si>
  <si>
    <t xml:space="preserve">Yelahanka </t>
  </si>
  <si>
    <t>COWRKS Ecoworld 4D</t>
  </si>
  <si>
    <t>COWRKS Ecospace 3B</t>
  </si>
  <si>
    <t>COWRKS Centennial II</t>
  </si>
  <si>
    <t xml:space="preserve">will open june </t>
  </si>
  <si>
    <t>Vistara</t>
  </si>
  <si>
    <t>1st Sector HSR Layout</t>
  </si>
  <si>
    <t>Rockline</t>
  </si>
  <si>
    <t>Craig Park Layout, MG Road</t>
  </si>
  <si>
    <t>Energen</t>
  </si>
  <si>
    <t>HMG Ambassador</t>
  </si>
  <si>
    <t xml:space="preserve">Shantala Nagar </t>
  </si>
  <si>
    <t>Enzyme</t>
  </si>
  <si>
    <t>SJR I Park</t>
  </si>
  <si>
    <t>Rathi Legacy</t>
  </si>
  <si>
    <t>Citrine</t>
  </si>
  <si>
    <t>Brigade Triumph</t>
  </si>
  <si>
    <t>BCIT</t>
  </si>
  <si>
    <t>Thanisandra Main Road</t>
  </si>
  <si>
    <t>Maruthi Chambers</t>
  </si>
  <si>
    <t>Hosur Road</t>
  </si>
  <si>
    <t>GGR Towers</t>
  </si>
  <si>
    <t>Sarjapur Road</t>
  </si>
  <si>
    <t>HSR Diamond</t>
  </si>
  <si>
    <t>HSR 16</t>
  </si>
  <si>
    <t>HSR 11</t>
  </si>
  <si>
    <t>HSR 8</t>
  </si>
  <si>
    <t>HSR 17</t>
  </si>
  <si>
    <t>HSR 2</t>
  </si>
  <si>
    <t>HSR 1 </t>
  </si>
  <si>
    <t>HSR 5</t>
  </si>
  <si>
    <t>HSR 6</t>
  </si>
  <si>
    <t>HSR 12</t>
  </si>
  <si>
    <t>NPR</t>
  </si>
  <si>
    <t>MPK</t>
  </si>
  <si>
    <t>MB</t>
  </si>
  <si>
    <t>SJR the Hub</t>
  </si>
  <si>
    <t xml:space="preserve">Standalone </t>
  </si>
  <si>
    <t>GoodWorks CoWork</t>
  </si>
  <si>
    <t>Akshay Tech Park</t>
  </si>
  <si>
    <t>EPIP Zone, Whitefield</t>
  </si>
  <si>
    <t>Sathya Sai, Whitefield</t>
  </si>
  <si>
    <t>GM Tech Park</t>
  </si>
  <si>
    <t>Brightfield</t>
  </si>
  <si>
    <t>Siddhapura main road, Whitefield</t>
  </si>
  <si>
    <t>Electronic city phase 1</t>
  </si>
  <si>
    <t xml:space="preserve">Hanto Workspaces </t>
  </si>
  <si>
    <t>ORION</t>
  </si>
  <si>
    <t xml:space="preserve">14th Main </t>
  </si>
  <si>
    <t>K2</t>
  </si>
  <si>
    <t>VIRGO</t>
  </si>
  <si>
    <t>Opp. HSR Club</t>
  </si>
  <si>
    <t>YOSEMITE</t>
  </si>
  <si>
    <t>13th Cross</t>
  </si>
  <si>
    <t>Artemis</t>
  </si>
  <si>
    <t xml:space="preserve">19th Main </t>
  </si>
  <si>
    <t>Mojo</t>
  </si>
  <si>
    <t>Pixel</t>
  </si>
  <si>
    <t xml:space="preserve">24th Main </t>
  </si>
  <si>
    <t>ASTEROID</t>
  </si>
  <si>
    <t>17th Cross</t>
  </si>
  <si>
    <t>REBEL</t>
  </si>
  <si>
    <t>TRANQUIL</t>
  </si>
  <si>
    <t>Primrose</t>
  </si>
  <si>
    <t>Primrose Rd.</t>
  </si>
  <si>
    <t>CRESCENT</t>
  </si>
  <si>
    <t xml:space="preserve">Trinity Circle </t>
  </si>
  <si>
    <t xml:space="preserve">Zenith </t>
  </si>
  <si>
    <t>Inidranagar 100Ft.</t>
  </si>
  <si>
    <t>Prestige pegasus</t>
  </si>
  <si>
    <t>RK Tower</t>
  </si>
  <si>
    <t>Sector 4</t>
  </si>
  <si>
    <t>H207</t>
  </si>
  <si>
    <t>H210</t>
  </si>
  <si>
    <t>H208</t>
  </si>
  <si>
    <t>H206</t>
  </si>
  <si>
    <t>H209</t>
  </si>
  <si>
    <t>H1904</t>
  </si>
  <si>
    <t>H1906</t>
  </si>
  <si>
    <t>H1703</t>
  </si>
  <si>
    <t>H1901</t>
  </si>
  <si>
    <t>H1905</t>
  </si>
  <si>
    <t>SB01</t>
  </si>
  <si>
    <t>SILK BOARD</t>
  </si>
  <si>
    <t>H204</t>
  </si>
  <si>
    <t>KRM02</t>
  </si>
  <si>
    <t>Cessna Business Park</t>
  </si>
  <si>
    <t>Incuspaze</t>
  </si>
  <si>
    <t>Prasad tech park</t>
  </si>
  <si>
    <t>QUBE Software park</t>
  </si>
  <si>
    <t>UB CITY</t>
  </si>
  <si>
    <t>Indiqube</t>
  </si>
  <si>
    <t>Eta</t>
  </si>
  <si>
    <t>Maruti Onyx</t>
  </si>
  <si>
    <t>Omega</t>
  </si>
  <si>
    <t>Brookfield</t>
  </si>
  <si>
    <t>Fore</t>
  </si>
  <si>
    <t>Zeta</t>
  </si>
  <si>
    <t>Ecoworld</t>
  </si>
  <si>
    <t>Elevate</t>
  </si>
  <si>
    <t>Alpha</t>
  </si>
  <si>
    <t>Helios</t>
  </si>
  <si>
    <t>Gamma</t>
  </si>
  <si>
    <t>Lake Side</t>
  </si>
  <si>
    <t>Edge</t>
  </si>
  <si>
    <t>Treya</t>
  </si>
  <si>
    <t>Aura</t>
  </si>
  <si>
    <t>AMR</t>
  </si>
  <si>
    <t>Serenity</t>
  </si>
  <si>
    <t>Orion</t>
  </si>
  <si>
    <t>HSR Road</t>
  </si>
  <si>
    <t>Hexa</t>
  </si>
  <si>
    <t>Garden</t>
  </si>
  <si>
    <t>Lexington</t>
  </si>
  <si>
    <t>Ashford</t>
  </si>
  <si>
    <t>Aerial</t>
  </si>
  <si>
    <t>Ascent</t>
  </si>
  <si>
    <t>Sunshine</t>
  </si>
  <si>
    <t>Sigma</t>
  </si>
  <si>
    <t>Celestia</t>
  </si>
  <si>
    <t>Octagon</t>
  </si>
  <si>
    <t>HM Vibha</t>
  </si>
  <si>
    <t>Twin Towers</t>
  </si>
  <si>
    <t>Yeshwanthpur</t>
  </si>
  <si>
    <t>Brigade Opus</t>
  </si>
  <si>
    <t>Marriott</t>
  </si>
  <si>
    <t>MSR North</t>
  </si>
  <si>
    <t>Symphony</t>
  </si>
  <si>
    <t>MG road</t>
  </si>
  <si>
    <t>Logos</t>
  </si>
  <si>
    <t>Penta</t>
  </si>
  <si>
    <t>Brigade Square</t>
  </si>
  <si>
    <t>Frontline Grandeur</t>
  </si>
  <si>
    <t>Lavelle Road</t>
  </si>
  <si>
    <t>Platina</t>
  </si>
  <si>
    <t>Skyline</t>
  </si>
  <si>
    <t>Crystal</t>
  </si>
  <si>
    <t>Sapphire</t>
  </si>
  <si>
    <t>St. Marks road</t>
  </si>
  <si>
    <t>Summit</t>
  </si>
  <si>
    <t>Mini forest</t>
  </si>
  <si>
    <t>South Mile</t>
  </si>
  <si>
    <t>Island</t>
  </si>
  <si>
    <t>Arcade</t>
  </si>
  <si>
    <t>Town-hub</t>
  </si>
  <si>
    <t>Golf View Homes</t>
  </si>
  <si>
    <t>Wind Tunnel Road</t>
  </si>
  <si>
    <t>Plaza</t>
  </si>
  <si>
    <t>Opal</t>
  </si>
  <si>
    <t>AMBER</t>
  </si>
  <si>
    <t>Coral</t>
  </si>
  <si>
    <t>Jeevan Bhima Nagar</t>
  </si>
  <si>
    <t>The Leela</t>
  </si>
  <si>
    <t>Epsilon</t>
  </si>
  <si>
    <t>Park</t>
  </si>
  <si>
    <t>Royal Arcade</t>
  </si>
  <si>
    <t>Sri Durga</t>
  </si>
  <si>
    <t>Mantri Commercio</t>
  </si>
  <si>
    <t>Prestige Platina</t>
  </si>
  <si>
    <t>isprout</t>
  </si>
  <si>
    <t>Infantry Road</t>
  </si>
  <si>
    <t>Divyasree NR Enclave</t>
  </si>
  <si>
    <t>Whitefield - EPIP</t>
  </si>
  <si>
    <t>Luxworks</t>
  </si>
  <si>
    <t xml:space="preserve">SJR Towers </t>
  </si>
  <si>
    <t>Bannerghatta Rd</t>
  </si>
  <si>
    <t>Charged per sft. basis</t>
  </si>
  <si>
    <t>SJR Union City</t>
  </si>
  <si>
    <t>MBC</t>
  </si>
  <si>
    <t>JB House</t>
  </si>
  <si>
    <t>MOSS</t>
  </si>
  <si>
    <t>IBC Knowledge Park</t>
  </si>
  <si>
    <t>Dairy Circle, Bannerghatta Road</t>
  </si>
  <si>
    <t>Diamond District - LGF</t>
  </si>
  <si>
    <t>Golden Enclave</t>
  </si>
  <si>
    <t>Golden Tower</t>
  </si>
  <si>
    <t>MX- Incubation</t>
  </si>
  <si>
    <t>Ecoworld - 30 series</t>
  </si>
  <si>
    <t xml:space="preserve">Incubation </t>
  </si>
  <si>
    <t>NA</t>
  </si>
  <si>
    <t xml:space="preserve">Brigade tech park </t>
  </si>
  <si>
    <t xml:space="preserve">Novel Office </t>
  </si>
  <si>
    <t>Novel Office MSR Park</t>
  </si>
  <si>
    <t xml:space="preserve">Novel Office Queens Road </t>
  </si>
  <si>
    <t>Queens Road</t>
  </si>
  <si>
    <t>Novel Office Workhub</t>
  </si>
  <si>
    <t>Graphite India Main Road</t>
  </si>
  <si>
    <t>Novel Tech Park</t>
  </si>
  <si>
    <t>Hosur Road, Kudlu Gate</t>
  </si>
  <si>
    <t>Novel Business Park</t>
  </si>
  <si>
    <t>Adugodi, Koramangala</t>
  </si>
  <si>
    <t xml:space="preserve">Novel Office Central </t>
  </si>
  <si>
    <t>Novel Office Brigade Tech Park</t>
  </si>
  <si>
    <t>NorthStar</t>
  </si>
  <si>
    <t>Elan</t>
  </si>
  <si>
    <t>Tulip</t>
  </si>
  <si>
    <t>Vibes</t>
  </si>
  <si>
    <t>Gusto</t>
  </si>
  <si>
    <t>Brio</t>
  </si>
  <si>
    <t>Milan</t>
  </si>
  <si>
    <t>Roses</t>
  </si>
  <si>
    <t>Verve</t>
  </si>
  <si>
    <t>Tranquil</t>
  </si>
  <si>
    <t>Zen</t>
  </si>
  <si>
    <t>Spry</t>
  </si>
  <si>
    <t>Nest</t>
  </si>
  <si>
    <t>Pentagon</t>
  </si>
  <si>
    <t>Capitol</t>
  </si>
  <si>
    <t>Raj Bhavan Raod</t>
  </si>
  <si>
    <t>Pulse</t>
  </si>
  <si>
    <t>Golf Course</t>
  </si>
  <si>
    <t>Vasanth Nagar</t>
  </si>
  <si>
    <t>Pro work Spaces India Pvt Ltd (HUTZ)</t>
  </si>
  <si>
    <t>HUTZ Garden</t>
  </si>
  <si>
    <t>HUTZ Signet</t>
  </si>
  <si>
    <t>HUTZ SRB</t>
  </si>
  <si>
    <t>HUTZ Icon</t>
  </si>
  <si>
    <t>HUTZ RSL</t>
  </si>
  <si>
    <t>Kasturba Roaad</t>
  </si>
  <si>
    <t>HUTZ Statesman</t>
  </si>
  <si>
    <t>Iblur</t>
  </si>
  <si>
    <t>HUTZ Agies</t>
  </si>
  <si>
    <t>Redbrick</t>
  </si>
  <si>
    <t>Exora Business Park- Etamin</t>
  </si>
  <si>
    <t>Exora Business Park- Electra</t>
  </si>
  <si>
    <t>RMZ Campus 31</t>
  </si>
  <si>
    <t>Prestige Tristar</t>
  </si>
  <si>
    <t>Ulsoor Road</t>
  </si>
  <si>
    <t>Prestige Summit</t>
  </si>
  <si>
    <t>St Johns Road</t>
  </si>
  <si>
    <t xml:space="preserve">Sanctuary </t>
  </si>
  <si>
    <t>GFM-Indiranagar</t>
  </si>
  <si>
    <t>Old Madras road</t>
  </si>
  <si>
    <t>GFM-Hebbal</t>
  </si>
  <si>
    <t xml:space="preserve">Bellary Road </t>
  </si>
  <si>
    <t>RMZ Galleria</t>
  </si>
  <si>
    <t>Yelahanka</t>
  </si>
  <si>
    <t>Brigade Magnum</t>
  </si>
  <si>
    <t>Sakti Statesman</t>
  </si>
  <si>
    <t>Vaswani Centropolis</t>
  </si>
  <si>
    <t>Langford Town</t>
  </si>
  <si>
    <t>Prestige Technostar</t>
  </si>
  <si>
    <t>Prestige Shantiniketan</t>
  </si>
  <si>
    <t>Hoodi</t>
  </si>
  <si>
    <t>Prestige UB Plaza</t>
  </si>
  <si>
    <t>St Marks Road</t>
  </si>
  <si>
    <t>RMZ Ecoworld</t>
  </si>
  <si>
    <t>Prestige Solitaire</t>
  </si>
  <si>
    <t>Brunton Road</t>
  </si>
  <si>
    <t>Godrej Centre</t>
  </si>
  <si>
    <t>Embassy Manyata Business Park</t>
  </si>
  <si>
    <t>Prestige Sigma</t>
  </si>
  <si>
    <t>Vittal Mallya Road</t>
  </si>
  <si>
    <t>Mfar Wilshire</t>
  </si>
  <si>
    <t>SmartWorks</t>
  </si>
  <si>
    <t>Global Technology Park</t>
  </si>
  <si>
    <t xml:space="preserve">KORAMANGALA </t>
  </si>
  <si>
    <t>Sirius Building</t>
  </si>
  <si>
    <t>Millers Road</t>
  </si>
  <si>
    <t>Sargod Imperial</t>
  </si>
  <si>
    <t xml:space="preserve">Golden Millennium </t>
  </si>
  <si>
    <t>Prestige Zeenath</t>
  </si>
  <si>
    <t>DSR Technocube</t>
  </si>
  <si>
    <t>The Cube</t>
  </si>
  <si>
    <t>Vaishnavi Tech Park - South Tower</t>
  </si>
  <si>
    <t>Vaishnavi Tech Park - North Tower</t>
  </si>
  <si>
    <t xml:space="preserve">Mantri Commercio </t>
  </si>
  <si>
    <t>Mini forrest</t>
  </si>
  <si>
    <t>Iconic</t>
  </si>
  <si>
    <t xml:space="preserve">JP Nagar </t>
  </si>
  <si>
    <t>Starttopia</t>
  </si>
  <si>
    <t xml:space="preserve">Starttopia </t>
  </si>
  <si>
    <t>BTM Layout</t>
  </si>
  <si>
    <t>Sumudhara capitol</t>
  </si>
  <si>
    <t xml:space="preserve">Peripheral East </t>
  </si>
  <si>
    <t>Embassy Signet</t>
  </si>
  <si>
    <t>Synerge</t>
  </si>
  <si>
    <t>HSR Layout</t>
  </si>
  <si>
    <t>HSR layout</t>
  </si>
  <si>
    <t>Hennur</t>
  </si>
  <si>
    <t>TableSpace</t>
  </si>
  <si>
    <t>Prestige Trade Tower</t>
  </si>
  <si>
    <t>Palace Road</t>
  </si>
  <si>
    <t>Vaswani Augusta</t>
  </si>
  <si>
    <t xml:space="preserve">Domlur </t>
  </si>
  <si>
    <t>Bren Optimus</t>
  </si>
  <si>
    <t xml:space="preserve">Dairy Circle </t>
  </si>
  <si>
    <t>Bagmane Luxor</t>
  </si>
  <si>
    <t>N1 &amp; L6 - Manyata Embassy Business Park</t>
  </si>
  <si>
    <t>Prestige Obelisk</t>
  </si>
  <si>
    <t>Kasturba Road</t>
  </si>
  <si>
    <t>EGL</t>
  </si>
  <si>
    <t>Bagmane Solarium</t>
  </si>
  <si>
    <t>UB City</t>
  </si>
  <si>
    <t>Sobha-1</t>
  </si>
  <si>
    <t>SJR Prime</t>
  </si>
  <si>
    <t>Exora Etamin</t>
  </si>
  <si>
    <t>Valence PTP</t>
  </si>
  <si>
    <t>RMZ Millienia</t>
  </si>
  <si>
    <t>ITPL</t>
  </si>
  <si>
    <t>Khodays</t>
  </si>
  <si>
    <t>Raj Bhavan Road</t>
  </si>
  <si>
    <t>Shanti Nagar</t>
  </si>
  <si>
    <t>Godrej Indiranagar</t>
  </si>
  <si>
    <t>Embassy Onyx</t>
  </si>
  <si>
    <t>Zonasha Frontier</t>
  </si>
  <si>
    <t>Vaswani Oakmont</t>
  </si>
  <si>
    <t>CCD</t>
  </si>
  <si>
    <t>DivyaSree Greens</t>
  </si>
  <si>
    <t>TS Towers_Whitefield</t>
  </si>
  <si>
    <t>MFAR Manyata Greenheart 2B</t>
  </si>
  <si>
    <t xml:space="preserve">The Executive Centre </t>
  </si>
  <si>
    <t xml:space="preserve">Helios Business Park - Level 10, Tower C </t>
  </si>
  <si>
    <t xml:space="preserve">Helios Business Park - Level 6, Tower E </t>
  </si>
  <si>
    <t xml:space="preserve">Helios Business Park - Level 4, Tower D </t>
  </si>
  <si>
    <t>Kaman Amaryllis</t>
  </si>
  <si>
    <t>Mfar GreenHeart</t>
  </si>
  <si>
    <t>Prestige Khoday Tower</t>
  </si>
  <si>
    <t xml:space="preserve">Safina Tower - North Tower </t>
  </si>
  <si>
    <t>Ali Askar Road</t>
  </si>
  <si>
    <t>Safina Tower - South tower</t>
  </si>
  <si>
    <t>UB City Concorde - 11th Floor</t>
  </si>
  <si>
    <t xml:space="preserve">UB City Concorde - 14th Floor </t>
  </si>
  <si>
    <t xml:space="preserve">UB City Canberra </t>
  </si>
  <si>
    <t>RMZ Millenia</t>
  </si>
  <si>
    <t>Raheja Cignus</t>
  </si>
  <si>
    <t>The Hive</t>
  </si>
  <si>
    <t xml:space="preserve">Speculative </t>
  </si>
  <si>
    <t>VR Bengaluru</t>
  </si>
  <si>
    <t>The Next storey</t>
  </si>
  <si>
    <t>Standalone Koramangala</t>
  </si>
  <si>
    <t>The Work Address- Managed Office - Kabra</t>
  </si>
  <si>
    <t>Kabra Excelcior</t>
  </si>
  <si>
    <t>Individual</t>
  </si>
  <si>
    <t>Think campus</t>
  </si>
  <si>
    <t xml:space="preserve">Electronic city phase 2 </t>
  </si>
  <si>
    <t>Think hub</t>
  </si>
  <si>
    <t>Trend</t>
  </si>
  <si>
    <t>Raheja Towers</t>
  </si>
  <si>
    <t>HM Towers</t>
  </si>
  <si>
    <t>Magrath Road</t>
  </si>
  <si>
    <t>Unispace</t>
  </si>
  <si>
    <t>Krishna Tech park</t>
  </si>
  <si>
    <t>Unispace Whitefield</t>
  </si>
  <si>
    <t>Urban Vault</t>
  </si>
  <si>
    <t>Zonasha Tech Park</t>
  </si>
  <si>
    <t>Manyata - L3</t>
  </si>
  <si>
    <t>HM Icon</t>
  </si>
  <si>
    <t>SJR Primus</t>
  </si>
  <si>
    <t xml:space="preserve">HSR layout - Operator not willing to share data </t>
  </si>
  <si>
    <t>HSR 477</t>
  </si>
  <si>
    <t xml:space="preserve">HSR 1497 </t>
  </si>
  <si>
    <t xml:space="preserve">Pardhani Wilshire </t>
  </si>
  <si>
    <t xml:space="preserve">( Hophaus) Indiranagar 608 </t>
  </si>
  <si>
    <t xml:space="preserve">Indiranagar </t>
  </si>
  <si>
    <t xml:space="preserve">HSR 460 </t>
  </si>
  <si>
    <t xml:space="preserve">HSR 12 ( Mygate ) </t>
  </si>
  <si>
    <t xml:space="preserve">Woodenstreet ( Urban vault 387 ) </t>
  </si>
  <si>
    <t>HSR 2732</t>
  </si>
  <si>
    <t xml:space="preserve">Rohan Techpark </t>
  </si>
  <si>
    <t>Sattva Magnificia</t>
  </si>
  <si>
    <t>KR Puram</t>
  </si>
  <si>
    <t>Lavender, Parcel 5, Embassy TechVillage</t>
  </si>
  <si>
    <t>IWF Campus</t>
  </si>
  <si>
    <t>ITPL Road</t>
  </si>
  <si>
    <t>Cinnabar Hills, Embassy Golflinks</t>
  </si>
  <si>
    <t>Roshni Tech Hub</t>
  </si>
  <si>
    <t>Princeville, Embassy Golflinks</t>
  </si>
  <si>
    <t>Jupiter, Prestige Tech Park</t>
  </si>
  <si>
    <t>Cherry Hills, Embassy Golflinks</t>
  </si>
  <si>
    <t>Vaishnavi Signature</t>
  </si>
  <si>
    <t>Sunriver, Embassy Golflinks</t>
  </si>
  <si>
    <t>Redwood (D3), Embassy Manyata</t>
  </si>
  <si>
    <t>Signature Block, Embassy Golflinks</t>
  </si>
  <si>
    <t>RMZ Latitude</t>
  </si>
  <si>
    <t>Bellary Road</t>
  </si>
  <si>
    <t>Purva Paviliion</t>
  </si>
  <si>
    <t>Prestige Central</t>
  </si>
  <si>
    <t>MFAR 37 Cunningham</t>
  </si>
  <si>
    <t>Cunningham Road</t>
  </si>
  <si>
    <t>Prestige Cube</t>
  </si>
  <si>
    <t>Sattva Symbiosys</t>
  </si>
  <si>
    <t>Bannerghata Road</t>
  </si>
  <si>
    <t>Prestige Atlanta</t>
  </si>
  <si>
    <t>Embassy Quest</t>
  </si>
  <si>
    <t>Embassy Galaxy</t>
  </si>
  <si>
    <t>NXT Tower, Embassy Manyata</t>
  </si>
  <si>
    <t>Mahogany (F2) , Embassy Manyata</t>
  </si>
  <si>
    <t xml:space="preserve">Northgate </t>
  </si>
  <si>
    <t>Bagalur Cross</t>
  </si>
  <si>
    <t>Embassy One</t>
  </si>
  <si>
    <t>Balsa (N1), Embassy Manyata</t>
  </si>
  <si>
    <t>Brookfield Ecoworld</t>
  </si>
  <si>
    <t>Pebble Beach, Embassy Golflinks</t>
  </si>
  <si>
    <t>M2, Embassy Manyata</t>
  </si>
  <si>
    <t>Al Habeeb</t>
  </si>
  <si>
    <t xml:space="preserve">Workshaala </t>
  </si>
  <si>
    <t>Manyata Tech Park</t>
  </si>
  <si>
    <t>2,00,000</t>
  </si>
  <si>
    <t>55 - 65</t>
  </si>
  <si>
    <t>Sattva Knowledge Court</t>
  </si>
  <si>
    <t>Rohan Tech Park - Rathi Legacy</t>
  </si>
  <si>
    <t>100 Feet Road</t>
  </si>
  <si>
    <t>Sattva Hallmark</t>
  </si>
  <si>
    <t>1,50,000</t>
  </si>
  <si>
    <t>HSR, Sector 5</t>
  </si>
  <si>
    <t>HSR, Sector 6</t>
  </si>
  <si>
    <t>Prestige Towers</t>
  </si>
  <si>
    <t>Largest contiguous space available</t>
  </si>
  <si>
    <t>/</t>
  </si>
  <si>
    <t>Pricing</t>
  </si>
  <si>
    <t>Occupancy (%)</t>
  </si>
  <si>
    <t>Enterprise Seats (Nos)</t>
  </si>
  <si>
    <t>Co-Working Seats (Nos)</t>
  </si>
  <si>
    <t>Last Called (date)</t>
  </si>
  <si>
    <t xml:space="preserve"> </t>
  </si>
  <si>
    <t>OneCo Work</t>
  </si>
  <si>
    <t>Koramangla</t>
  </si>
  <si>
    <t>Barleys Junction</t>
  </si>
  <si>
    <t>-</t>
  </si>
  <si>
    <t>30/07/2025</t>
  </si>
  <si>
    <t>Floors Available</t>
  </si>
  <si>
    <t>1st &amp; 2nd</t>
  </si>
  <si>
    <t>23/07/2025</t>
  </si>
  <si>
    <t>shanthi.prasad@clayworks.in</t>
  </si>
  <si>
    <t>Mobile</t>
  </si>
  <si>
    <t>E-mail</t>
  </si>
  <si>
    <t xml:space="preserve">Alan Thomas </t>
  </si>
  <si>
    <t xml:space="preserve">Krishna </t>
  </si>
  <si>
    <t xml:space="preserve">Karan </t>
  </si>
  <si>
    <t>Nitheesh Thanmpi</t>
  </si>
  <si>
    <t xml:space="preserve">Khushi </t>
  </si>
  <si>
    <t xml:space="preserve">Suman </t>
  </si>
  <si>
    <t xml:space="preserve">Zahey  </t>
  </si>
  <si>
    <t xml:space="preserve">Sreedar </t>
  </si>
  <si>
    <t xml:space="preserve">Aditya Sony  </t>
  </si>
  <si>
    <t xml:space="preserve">Angeline </t>
  </si>
  <si>
    <t xml:space="preserve">Anushka </t>
  </si>
  <si>
    <t>Contact 1</t>
  </si>
  <si>
    <t>Details</t>
  </si>
  <si>
    <t>Contact 2</t>
  </si>
  <si>
    <t>Shanthi Prasad</t>
  </si>
  <si>
    <t xml:space="preserve">  Manager Transactions (iventory list)</t>
  </si>
  <si>
    <t>Anushka@clayworks.in</t>
  </si>
  <si>
    <t>khushi.jain@wework.co.in</t>
  </si>
  <si>
    <t>Available Seats</t>
  </si>
  <si>
    <t>Halasuru, Cambridge layout</t>
  </si>
  <si>
    <t>JP Nagar 3rd Phase</t>
  </si>
  <si>
    <t>Residency road</t>
  </si>
  <si>
    <t>Kirithik</t>
  </si>
  <si>
    <t>5th</t>
  </si>
  <si>
    <t>3rd</t>
  </si>
  <si>
    <t>3B-8th</t>
  </si>
  <si>
    <t>G</t>
  </si>
  <si>
    <t xml:space="preserve">1st </t>
  </si>
  <si>
    <t>1st, 2nd &amp; 3rd</t>
  </si>
  <si>
    <t>2nd, 3rd, 4th</t>
  </si>
  <si>
    <t>28/07/2025</t>
  </si>
  <si>
    <t xml:space="preserve">/ </t>
  </si>
  <si>
    <t>Renaissance Centra</t>
  </si>
  <si>
    <t>420+</t>
  </si>
  <si>
    <t>Mantri Commerce - I (7th Floor)</t>
  </si>
  <si>
    <t>JP Nagar 6th Phase</t>
  </si>
  <si>
    <t>Clayworks JPN</t>
  </si>
  <si>
    <t>Clayworks E-City</t>
  </si>
  <si>
    <t>Electronic City</t>
  </si>
  <si>
    <t>Clayworks Raphsody</t>
  </si>
  <si>
    <t>ITPL main road, Whitefield</t>
  </si>
  <si>
    <t>Clayworks GRT</t>
  </si>
  <si>
    <t>Whitefield main road</t>
  </si>
  <si>
    <t>G+5</t>
  </si>
  <si>
    <t>8,000 - 9,000</t>
  </si>
  <si>
    <t>14,000 (cabin)</t>
  </si>
  <si>
    <t>9,000 - 10,000</t>
  </si>
  <si>
    <t>10,000 - 10,500</t>
  </si>
  <si>
    <t>8,500 - 9,500</t>
  </si>
  <si>
    <t>7,000 - 8,000</t>
  </si>
  <si>
    <t>10,000 - 11,000</t>
  </si>
  <si>
    <t>9,000 - 9,500</t>
  </si>
  <si>
    <t>11,000 - 12,000</t>
  </si>
  <si>
    <t>7th (Full floor)</t>
  </si>
  <si>
    <t>10th Floor</t>
  </si>
  <si>
    <t>13,900 - 15,000</t>
  </si>
  <si>
    <t>10,800 - 11,200</t>
  </si>
  <si>
    <t>11,500m - 11,600</t>
  </si>
  <si>
    <t>13,000 - 13,200 - 14,300</t>
  </si>
  <si>
    <t>9,100 - 9,200 - 11,100</t>
  </si>
  <si>
    <t>Bhive Premium Indiranagar</t>
  </si>
  <si>
    <t>11,400 - 12,400</t>
  </si>
  <si>
    <t>9,900 - 10,000</t>
  </si>
  <si>
    <t>6,900 - 7,000</t>
  </si>
  <si>
    <t>8,100 - 8,200</t>
  </si>
  <si>
    <t>9,100 - 9,600</t>
  </si>
  <si>
    <t>7,200 - 8,200 - 9,800</t>
  </si>
  <si>
    <t>8,500 - 9,000</t>
  </si>
  <si>
    <t>9,700 - 9,800 - 10,800</t>
  </si>
  <si>
    <t>8,000 - 8,500</t>
  </si>
  <si>
    <t>Tower 1</t>
  </si>
  <si>
    <t>Infinity Park Tower 2</t>
  </si>
  <si>
    <t>Infinity Park Tower 1</t>
  </si>
  <si>
    <t>21,000 sft</t>
  </si>
  <si>
    <t>Tower 2</t>
  </si>
  <si>
    <t>Built to suit</t>
  </si>
  <si>
    <t>Velocity Park</t>
  </si>
  <si>
    <t>5,350 - 6,800 sft</t>
  </si>
  <si>
    <t>GoodWorks Aerospace Park
Devanahalli KIADB Phase 2</t>
  </si>
  <si>
    <t>Devanahalli</t>
  </si>
  <si>
    <t>3,00,000 sft</t>
  </si>
  <si>
    <t>built to suit</t>
  </si>
  <si>
    <t>90/sft</t>
  </si>
  <si>
    <t>10,700 - 12,700</t>
  </si>
  <si>
    <t>8,900 - 10,700</t>
  </si>
  <si>
    <t>9,400 - 11,100</t>
  </si>
  <si>
    <t>7,850 - 9,450</t>
  </si>
  <si>
    <t>9,700 - 11,600</t>
  </si>
  <si>
    <t>9,700 - 11,400</t>
  </si>
  <si>
    <t>Teresa</t>
  </si>
  <si>
    <t>HSR Layout (Hosur Road)</t>
  </si>
  <si>
    <t>Lock-in period</t>
  </si>
  <si>
    <t>Lease Period</t>
  </si>
  <si>
    <t>Security Deposite</t>
  </si>
  <si>
    <t>CAM Charges</t>
  </si>
  <si>
    <t>6th to 10th</t>
  </si>
  <si>
    <t>ITPB Explorer</t>
  </si>
  <si>
    <t>Workshaala Xenon Ejipura</t>
  </si>
  <si>
    <t>Athena, 80 Feet Road</t>
  </si>
  <si>
    <t>G to 4th</t>
  </si>
  <si>
    <t>3rd &amp; 4th</t>
  </si>
  <si>
    <t>Argus, 100 Feet Road</t>
  </si>
  <si>
    <t>G+3</t>
  </si>
  <si>
    <t>Lal Bagh</t>
  </si>
  <si>
    <t>5th to 7th</t>
  </si>
  <si>
    <t>Marvel, Pride Hulkul</t>
  </si>
  <si>
    <t>G, 3rd</t>
  </si>
  <si>
    <t>Neo, HSR, Sector 3</t>
  </si>
  <si>
    <t>Vista, HSR, Sector 4</t>
  </si>
  <si>
    <t>Tower A, B &amp; C</t>
  </si>
  <si>
    <t>G, 1st, 2nd &amp; 3rd</t>
  </si>
  <si>
    <t>4th, 5th, 8th &amp; 11th</t>
  </si>
  <si>
    <t>G, 1st, 2nd, 5th, 7th, 8th, 10th</t>
  </si>
  <si>
    <t>Terrace</t>
  </si>
  <si>
    <t>Attic Space - Advaith</t>
  </si>
  <si>
    <t>Sector 1</t>
  </si>
  <si>
    <t>6th</t>
  </si>
  <si>
    <t>11,500 - 15,000</t>
  </si>
  <si>
    <t>11th</t>
  </si>
  <si>
    <t>MFAR Manyata Tech Park 2B</t>
  </si>
  <si>
    <t>MFAR Manyata Tech Park L6 Block</t>
  </si>
  <si>
    <t>G,1,2 &amp; 4</t>
  </si>
  <si>
    <t>12,500 - 16,500</t>
  </si>
  <si>
    <t>1st &amp; 9th</t>
  </si>
  <si>
    <t>1st</t>
  </si>
  <si>
    <t>2nd</t>
  </si>
  <si>
    <t>4th</t>
  </si>
  <si>
    <t>The Work Address- Managed Office - Kalpana</t>
  </si>
  <si>
    <t>3 years</t>
  </si>
  <si>
    <t>5 years</t>
  </si>
  <si>
    <t>8 months</t>
  </si>
  <si>
    <t>Notice Period</t>
  </si>
  <si>
    <t>4 months</t>
  </si>
  <si>
    <t>Included</t>
  </si>
  <si>
    <t>Parking Ratio</t>
  </si>
  <si>
    <t>5,000/slot</t>
  </si>
  <si>
    <t>Esquire, Diamond District</t>
  </si>
  <si>
    <t>Aspire, SJR Junction</t>
  </si>
  <si>
    <t>Parking Charges (Car)</t>
  </si>
  <si>
    <t>Parking Charges (Bike)</t>
  </si>
  <si>
    <t>Pristine, (Stand Alone)</t>
  </si>
  <si>
    <t>6th &amp; 5th</t>
  </si>
  <si>
    <t>Elanz, MSR North Tower</t>
  </si>
  <si>
    <t>Same as above</t>
  </si>
  <si>
    <t>Inspire</t>
  </si>
  <si>
    <t>BTP</t>
  </si>
  <si>
    <t>3rd floor</t>
  </si>
  <si>
    <t>G,1,2,3&amp;4</t>
  </si>
  <si>
    <t>3rd floor (west wing)</t>
  </si>
  <si>
    <t xml:space="preserve">3rd floor </t>
  </si>
  <si>
    <t>G,1,2&amp;3</t>
  </si>
  <si>
    <t>2,3&amp;4</t>
  </si>
  <si>
    <t>Manyata MFAR &amp; ( N1 ) - Manyata Embassy Business Park</t>
  </si>
  <si>
    <t>2nd &amp; 6th</t>
  </si>
  <si>
    <t>1st &amp; 3rd</t>
  </si>
  <si>
    <t>200,100,50</t>
  </si>
  <si>
    <t>200 &amp; 100</t>
  </si>
  <si>
    <t>G &amp; 3</t>
  </si>
  <si>
    <t>Operator</t>
  </si>
  <si>
    <t>2nd, 3rd &amp; 4th</t>
  </si>
  <si>
    <t>Condition</t>
  </si>
  <si>
    <t>Customizable</t>
  </si>
  <si>
    <t>Warm Shell</t>
  </si>
  <si>
    <t>Yes</t>
  </si>
  <si>
    <t>Across multiple floors</t>
  </si>
  <si>
    <t>10th</t>
  </si>
  <si>
    <t>5th floor ELM block</t>
  </si>
  <si>
    <t xml:space="preserve">5th </t>
  </si>
  <si>
    <t>UV 780</t>
  </si>
  <si>
    <t>UV 761</t>
  </si>
  <si>
    <t>Furnished</t>
  </si>
  <si>
    <t>UV 1781</t>
  </si>
  <si>
    <t>UV 1177</t>
  </si>
  <si>
    <t>UV 1086</t>
  </si>
  <si>
    <t>2nd &amp; 4th (110 per floor)</t>
  </si>
  <si>
    <t>UV 591</t>
  </si>
  <si>
    <t>UV 97</t>
  </si>
  <si>
    <t>Spruce</t>
  </si>
  <si>
    <t>Embassy Tech Square Main Rd</t>
  </si>
  <si>
    <t>2,3,&amp; 4</t>
  </si>
  <si>
    <t>90/sft or 7,500/seat</t>
  </si>
  <si>
    <t>85/sft or 7,000/seat</t>
  </si>
  <si>
    <t>https://cushwake1-my.sharepoint.com/personal/arjun_s_cushwake_com/Documents/Documents/Flex/Inventory/Collab%2024/Pictures</t>
  </si>
  <si>
    <t>Pictures</t>
  </si>
  <si>
    <t>https://cushwake1-my.sharepoint.com/:f:/g/personal/arjun_s_cushwake_com/EvmlwOnfVZpFm9IPfOwXZ80B6DjqgqvX3aAeGOGXEbyRmQ?e=UqUJHa</t>
  </si>
  <si>
    <t>ranajits@brigadegroup.com</t>
  </si>
  <si>
    <t>15th</t>
  </si>
  <si>
    <t>3rd non SEZ, SEZ 1st floor</t>
  </si>
  <si>
    <t>14th</t>
  </si>
  <si>
    <t>3rd &amp; 15th</t>
  </si>
  <si>
    <t>Brigade Padmini Tech Valley</t>
  </si>
  <si>
    <t xml:space="preserve">3rd </t>
  </si>
  <si>
    <t>total 9100 sft</t>
  </si>
  <si>
    <t>LG, 3 &amp; 5th floor</t>
  </si>
  <si>
    <t>1800 +</t>
  </si>
  <si>
    <t>https://cushwake1-my.sharepoint.com/:f:/g/personal/arjun_s_cushwake_com/EgWvDDb1HLVClcz08rcyceIBkHlCgWNjt_GAViAFIz7dxg?e=uSJOgp</t>
  </si>
  <si>
    <t>3,500 sft</t>
  </si>
  <si>
    <t>100/sft</t>
  </si>
  <si>
    <t>10 months</t>
  </si>
  <si>
    <t>Bare Shell</t>
  </si>
  <si>
    <t>https://cushwake1-my.sharepoint.com/:f:/g/personal/arjun_s_cushwake_com/ErNFQyl5AxxAs4Eu5Pl0xUMBxbgxi4O_eazdIZTIkwPq3g?e=9R8dnw</t>
  </si>
  <si>
    <t>Sumadhura Capitol Towers</t>
  </si>
  <si>
    <t>Vajram Esteva</t>
  </si>
  <si>
    <t>Bhive HSR Silk Board</t>
  </si>
  <si>
    <t>https://cushwake1-my.sharepoint.com/:f:/g/personal/arjun_s_cushwake_com/EhRqCne2v6VIkhbHV_QBrkoB7r1vqRK3mpASP2TslZ21GQ?e=81wbnm</t>
  </si>
  <si>
    <t>South Park</t>
  </si>
  <si>
    <t>https://cushwake1-my.sharepoint.com/:f:/g/personal/arjun_s_cushwake_com/EgYVyzx9dhJOhowNqOHy2gcBe7qtJLZf9aB12J5am1q8iw?e=IO9Tvh</t>
  </si>
  <si>
    <t>https://cushwake1-my.sharepoint.com/:f:/g/personal/arjun_s_cushwake_com/EsTx6gwkyOJLnVGLL1qPpsUBdEUZ9N7W4_wSiZKeUuCERQ?e=ddvqeb</t>
  </si>
  <si>
    <t>https://cushwake1-my.sharepoint.com/:f:/g/personal/arjun_s_cushwake_com/EqQycmH2y1FMpSB5Kbpr5KwBsVW8PRm0-vFady2YPyefVw?e=Sztme0</t>
  </si>
  <si>
    <t>180+</t>
  </si>
  <si>
    <t>140+</t>
  </si>
  <si>
    <t>239+</t>
  </si>
  <si>
    <t>200+</t>
  </si>
  <si>
    <t>104+</t>
  </si>
  <si>
    <t>100+</t>
  </si>
  <si>
    <t>Mantri Commerce - II, 5th floor</t>
  </si>
  <si>
    <t>304+</t>
  </si>
  <si>
    <t>WorkFlow Ranka</t>
  </si>
  <si>
    <t>Prestige Tech Platina</t>
  </si>
  <si>
    <t>https://cushwake1-my.sharepoint.com/:f:/g/personal/arjun_s_cushwake_com/EhS10XSqJ8NBrzq8ex7HIaABt5tHJkHVwjSeFtYhMzTYVg?e=3jCNto</t>
  </si>
  <si>
    <t>Brigade Towers</t>
  </si>
  <si>
    <t>St Marks Rd</t>
  </si>
  <si>
    <t>Clayworks Adarsh Crystal</t>
  </si>
  <si>
    <t>Marathalli Road Koramangala</t>
  </si>
  <si>
    <t>24/09/2025</t>
  </si>
  <si>
    <t>Operators</t>
  </si>
  <si>
    <t>Minimum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</si>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</sst>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 * #,##0.00_ ;_ * \-#,##0.00_ ;_ * &quot;-&quot;??_ ;_ @_ "/>
    <numFmt numFmtId="166" formatCode="0.0"/>
    <numFmt numFmtId="167" formatCode="[$-409]dd\-mmm\-yy;@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Display"/>
      <family val="2"/>
      <scheme val="major"/>
    </font>
    <font>
      <sz val="1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 tint="4.9989318521683403E-2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FF0000"/>
      <name val="Aptos Display"/>
      <family val="2"/>
      <scheme val="major"/>
    </font>
    <font>
      <sz val="10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128">
    <xf numFmtId="0" fontId="0" fillId="0" borderId="0" xfId="0"/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3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0" fillId="7" borderId="1" xfId="0" applyFill="1" applyBorder="1"/>
    <xf numFmtId="0" fontId="4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5" fillId="7" borderId="1" xfId="0" applyFont="1" applyFill="1" applyBorder="1"/>
    <xf numFmtId="0" fontId="4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4" fillId="5" borderId="4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4" borderId="3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6" fillId="8" borderId="1" xfId="0" applyFont="1" applyFill="1" applyBorder="1" applyAlignment="1">
      <alignment horizontal="center" vertical="center" wrapText="1"/>
    </xf>
    <xf numFmtId="167" fontId="7" fillId="0" borderId="1" xfId="0" applyNumberFormat="1" applyFont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/>
    </xf>
    <xf numFmtId="164" fontId="6" fillId="8" borderId="1" xfId="1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64" fontId="7" fillId="0" borderId="1" xfId="1" applyNumberFormat="1" applyFont="1" applyFill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43" fontId="7" fillId="0" borderId="1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6" fillId="8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1" fontId="7" fillId="0" borderId="6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43" fontId="7" fillId="0" borderId="6" xfId="0" applyNumberFormat="1" applyFont="1" applyBorder="1" applyAlignment="1">
      <alignment horizontal="center" vertical="center"/>
    </xf>
    <xf numFmtId="166" fontId="7" fillId="0" borderId="6" xfId="0" applyNumberFormat="1" applyFont="1" applyBorder="1" applyAlignment="1">
      <alignment horizontal="center" vertical="center"/>
    </xf>
    <xf numFmtId="165" fontId="7" fillId="0" borderId="6" xfId="0" applyNumberFormat="1" applyFont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wrapText="1"/>
    </xf>
    <xf numFmtId="0" fontId="7" fillId="0" borderId="0" xfId="0" applyFont="1"/>
    <xf numFmtId="0" fontId="10" fillId="0" borderId="1" xfId="0" applyFont="1" applyBorder="1" applyAlignment="1">
      <alignment horizontal="left"/>
    </xf>
    <xf numFmtId="0" fontId="10" fillId="2" borderId="6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0" fontId="10" fillId="2" borderId="8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7" fillId="2" borderId="9" xfId="0" applyFont="1" applyFill="1" applyBorder="1" applyAlignment="1">
      <alignment horizontal="left"/>
    </xf>
    <xf numFmtId="0" fontId="10" fillId="5" borderId="6" xfId="0" applyFont="1" applyFill="1" applyBorder="1" applyAlignment="1">
      <alignment horizontal="left"/>
    </xf>
    <xf numFmtId="0" fontId="10" fillId="5" borderId="9" xfId="0" applyFont="1" applyFill="1" applyBorder="1" applyAlignment="1">
      <alignment horizontal="left"/>
    </xf>
    <xf numFmtId="0" fontId="7" fillId="5" borderId="6" xfId="0" applyFont="1" applyFill="1" applyBorder="1" applyAlignment="1">
      <alignment horizontal="left"/>
    </xf>
    <xf numFmtId="0" fontId="10" fillId="3" borderId="6" xfId="0" applyFont="1" applyFill="1" applyBorder="1" applyAlignment="1">
      <alignment horizontal="left"/>
    </xf>
    <xf numFmtId="0" fontId="7" fillId="3" borderId="6" xfId="0" applyFont="1" applyFill="1" applyBorder="1" applyAlignment="1">
      <alignment horizontal="left"/>
    </xf>
    <xf numFmtId="0" fontId="10" fillId="3" borderId="7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7" fillId="3" borderId="7" xfId="0" applyFont="1" applyFill="1" applyBorder="1" applyAlignment="1">
      <alignment horizontal="left"/>
    </xf>
    <xf numFmtId="0" fontId="7" fillId="4" borderId="6" xfId="0" applyFont="1" applyFill="1" applyBorder="1" applyAlignment="1">
      <alignment horizontal="left"/>
    </xf>
    <xf numFmtId="0" fontId="10" fillId="4" borderId="8" xfId="0" applyFont="1" applyFill="1" applyBorder="1" applyAlignment="1">
      <alignment horizontal="left"/>
    </xf>
    <xf numFmtId="0" fontId="10" fillId="4" borderId="6" xfId="0" applyFont="1" applyFill="1" applyBorder="1" applyAlignment="1">
      <alignment horizontal="left"/>
    </xf>
    <xf numFmtId="0" fontId="7" fillId="4" borderId="9" xfId="0" applyFont="1" applyFill="1" applyBorder="1" applyAlignment="1">
      <alignment horizontal="left"/>
    </xf>
    <xf numFmtId="0" fontId="7" fillId="4" borderId="7" xfId="0" applyFont="1" applyFill="1" applyBorder="1" applyAlignment="1">
      <alignment horizontal="left"/>
    </xf>
    <xf numFmtId="0" fontId="7" fillId="6" borderId="6" xfId="0" applyFont="1" applyFill="1" applyBorder="1" applyAlignment="1">
      <alignment horizontal="left"/>
    </xf>
    <xf numFmtId="0" fontId="7" fillId="4" borderId="8" xfId="0" applyFont="1" applyFill="1" applyBorder="1" applyAlignment="1">
      <alignment horizontal="left"/>
    </xf>
    <xf numFmtId="0" fontId="10" fillId="6" borderId="6" xfId="0" applyFont="1" applyFill="1" applyBorder="1" applyAlignment="1">
      <alignment horizontal="left"/>
    </xf>
    <xf numFmtId="0" fontId="7" fillId="6" borderId="7" xfId="0" applyFont="1" applyFill="1" applyBorder="1" applyAlignment="1">
      <alignment horizontal="left"/>
    </xf>
    <xf numFmtId="0" fontId="10" fillId="6" borderId="8" xfId="0" applyFont="1" applyFill="1" applyBorder="1" applyAlignment="1">
      <alignment horizontal="left"/>
    </xf>
    <xf numFmtId="0" fontId="11" fillId="0" borderId="1" xfId="3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7" fillId="9" borderId="3" xfId="0" applyFont="1" applyFill="1" applyBorder="1" applyAlignment="1">
      <alignment horizontal="center" vertical="center"/>
    </xf>
    <xf numFmtId="167" fontId="7" fillId="0" borderId="3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/>
    </xf>
    <xf numFmtId="0" fontId="7" fillId="11" borderId="3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7" fontId="7" fillId="0" borderId="2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4" fontId="9" fillId="0" borderId="1" xfId="1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3" fontId="7" fillId="11" borderId="1" xfId="0" applyNumberFormat="1" applyFont="1" applyFill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3" fontId="7" fillId="11" borderId="3" xfId="0" applyNumberFormat="1" applyFont="1" applyFill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3" fontId="7" fillId="11" borderId="2" xfId="0" applyNumberFormat="1" applyFont="1" applyFill="1" applyBorder="1" applyAlignment="1">
      <alignment horizontal="center" vertical="center"/>
    </xf>
    <xf numFmtId="164" fontId="7" fillId="0" borderId="1" xfId="2" applyNumberFormat="1" applyFont="1" applyFill="1" applyBorder="1" applyAlignment="1">
      <alignment horizontal="center" vertical="center"/>
    </xf>
    <xf numFmtId="3" fontId="7" fillId="9" borderId="1" xfId="0" applyNumberFormat="1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1" fillId="0" borderId="1" xfId="3" applyBorder="1" applyAlignment="1">
      <alignment horizontal="center" wrapText="1"/>
    </xf>
    <xf numFmtId="0" fontId="13" fillId="0" borderId="1" xfId="3" applyFont="1" applyBorder="1" applyAlignment="1">
      <alignment horizontal="center" wrapText="1"/>
    </xf>
    <xf numFmtId="0" fontId="11" fillId="0" borderId="1" xfId="3" applyBorder="1" applyAlignment="1">
      <alignment wrapText="1"/>
    </xf>
    <xf numFmtId="0" fontId="11" fillId="0" borderId="1" xfId="3" applyBorder="1"/>
    <xf numFmtId="16" fontId="0" fillId="0" borderId="0" xfId="0" applyNumberFormat="1" applyAlignment="1">
      <alignment horizontal="center"/>
    </xf>
    <xf numFmtId="0" fontId="15" fillId="11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</cellXfs>
  <cellStyles count="4">
    <cellStyle name="Comma" xfId="1" builtinId="3"/>
    <cellStyle name="Comma 2" xfId="2" xr:uid="{C79282C8-40B3-49E5-A799-68F031B31BC4}"/>
    <cellStyle name="Hyperlink" xfId="3" builtinId="8"/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:f:/g/personal/arjun_s_cushwake_com/ElLpB0e3MU9Ok16xbqaMBGgBcsqAMCh8YuWWWf9Dy-ZIiQ?e=IhOoTe" TargetMode="External"/><Relationship Id="rId13" Type="http://schemas.openxmlformats.org/officeDocument/2006/relationships/hyperlink" Target="../../../../../:f:/g/personal/arjun_s_cushwake_com/EgYVyzx9dhJOhowNqOHy2gcBe7qtJLZf9aB12J5am1q8iw?e=IO9Tvh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../../../../../:f:/g/personal/arjun_s_cushwake_com/EvmlwOnfVZpFm9IPfOwXZ80B6DjqgqvX3aAeGOGXEbyRmQ?e=UqUJHa" TargetMode="External"/><Relationship Id="rId7" Type="http://schemas.openxmlformats.org/officeDocument/2006/relationships/hyperlink" Target="../../../../../:f:/g/personal/arjun_s_cushwake_com/ElLpB0e3MU9Ok16xbqaMBGgBcsqAMCh8YuWWWf9Dy-ZIiQ?e=IhOoTe" TargetMode="External"/><Relationship Id="rId12" Type="http://schemas.openxmlformats.org/officeDocument/2006/relationships/hyperlink" Target="../../../../../:f:/g/personal/arjun_s_cushwake_com/EhRqCne2v6VIkhbHV_QBrkoB7r1vqRK3mpASP2TslZ21GQ?e=81wbnm" TargetMode="External"/><Relationship Id="rId17" Type="http://schemas.openxmlformats.org/officeDocument/2006/relationships/hyperlink" Target="../../../../../:f:/g/personal/arjun_s_cushwake_com/EhS10XSqJ8NBrzq8ex7HIaABt5tHJkHVwjSeFtYhMzTYVg?e=3jCNto" TargetMode="External"/><Relationship Id="rId2" Type="http://schemas.openxmlformats.org/officeDocument/2006/relationships/hyperlink" Target="../../../../../:f:/g/personal/arjun_s_cushwake_com/EsWML0MkCa1FjWXtVgQMGukB1AAeri75DEpsqfQAKTKMWA?e=82MD86" TargetMode="External"/><Relationship Id="rId16" Type="http://schemas.openxmlformats.org/officeDocument/2006/relationships/hyperlink" Target="../../../../../:f:/g/personal/arjun_s_cushwake_com/EqQycmH2y1FMpSB5Kbpr5KwBsVW8PRm0-vFady2YPyefVw?e=Sztme0" TargetMode="External"/><Relationship Id="rId1" Type="http://schemas.openxmlformats.org/officeDocument/2006/relationships/hyperlink" Target="Inventory/Collab%2024/Pictures" TargetMode="External"/><Relationship Id="rId6" Type="http://schemas.openxmlformats.org/officeDocument/2006/relationships/hyperlink" Target="../../../../../:f:/g/personal/arjun_s_cushwake_com/EkvY65HAFVZBtAg7-VS00swB6bbOzkdMcYfYpEUGKV3Drw?e=2ObIpY" TargetMode="External"/><Relationship Id="rId11" Type="http://schemas.openxmlformats.org/officeDocument/2006/relationships/hyperlink" Target="../../../../../:f:/g/personal/arjun_s_cushwake_com/EiO6wJ9SlSVDp12vYvp44TcBnwhI6hDAQBRzsji9CiHNKg?e=BhLX0S" TargetMode="External"/><Relationship Id="rId5" Type="http://schemas.openxmlformats.org/officeDocument/2006/relationships/hyperlink" Target="../../../../../:f:/g/personal/arjun_s_cushwake_com/ErNFQyl5AxxAs4Eu5Pl0xUMBxbgxi4O_eazdIZTIkwPq3g?e=9R8dnw" TargetMode="External"/><Relationship Id="rId15" Type="http://schemas.openxmlformats.org/officeDocument/2006/relationships/hyperlink" Target="../../../../../:f:/g/personal/arjun_s_cushwake_com/EsTx6gwkyOJLnVGLL1qPpsUBdEUZ9N7W4_wSiZKeUuCERQ?e=ddvqeb" TargetMode="External"/><Relationship Id="rId10" Type="http://schemas.openxmlformats.org/officeDocument/2006/relationships/hyperlink" Target="../../../../../:f:/g/personal/arjun_s_cushwake_com/EiO6wJ9SlSVDp12vYvp44TcBnwhI6hDAQBRzsji9CiHNKg?e=BhLX0S" TargetMode="External"/><Relationship Id="rId4" Type="http://schemas.openxmlformats.org/officeDocument/2006/relationships/hyperlink" Target="../../../../../:f:/g/personal/arjun_s_cushwake_com/EgWvDDb1HLVClcz08rcyceIBkHlCgWNjt_GAViAFIz7dxg?e=uSJOgp" TargetMode="External"/><Relationship Id="rId9" Type="http://schemas.openxmlformats.org/officeDocument/2006/relationships/hyperlink" Target="../../../../../:f:/g/personal/arjun_s_cushwake_com/ElLpB0e3MU9Ok16xbqaMBGgBcsqAMCh8YuWWWf9Dy-ZIiQ?e=IhOoTe" TargetMode="External"/><Relationship Id="rId14" Type="http://schemas.openxmlformats.org/officeDocument/2006/relationships/hyperlink" Target="../../../../../:f:/g/personal/arjun_s_cushwake_com/Em-4hld3edRGp_GIqXesAeQB6SIDzW6B9KxXNGXnWUZ2Pw?e=ihf0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C3A32-FC79-4ECD-9FE2-5DEF9B01DB0D}">
  <sheetPr filterMode="1"/>
  <dimension ref="A1:AR532"/>
  <sheetViews>
    <sheetView tabSelected="1" zoomScale="107" zoomScaleNormal="107" workbookViewId="0">
      <pane ySplit="1" topLeftCell="A8" activePane="bottomLeft" state="frozen"/>
      <selection pane="bottomLeft" activeCell="G146" sqref="G146"/>
    </sheetView>
  </sheetViews>
  <sheetFormatPr defaultColWidth="8.7109375" defaultRowHeight="15" x14ac:dyDescent="0.25"/>
  <cols>
    <col min="1" max="1" width="8.5703125" style="35" bestFit="1" customWidth="1"/>
    <col min="2" max="2" width="13.5703125" style="35" bestFit="1" customWidth="1"/>
    <col min="3" max="3" width="36.5703125" style="35" bestFit="1" customWidth="1"/>
    <col min="4" max="4" width="65.140625" style="35" customWidth="1"/>
    <col min="5" max="5" width="7.42578125" style="35" customWidth="1"/>
    <col min="6" max="6" width="11.85546875" style="35" customWidth="1"/>
    <col min="7" max="7" width="24.42578125" style="35" bestFit="1" customWidth="1"/>
    <col min="8" max="8" width="10.5703125" style="35" bestFit="1" customWidth="1"/>
    <col min="9" max="9" width="14.140625" style="35" customWidth="1"/>
    <col min="10" max="10" width="16.85546875" style="35" bestFit="1" customWidth="1"/>
    <col min="11" max="11" width="12.5703125" style="35" bestFit="1" customWidth="1"/>
    <col min="12" max="12" width="8.85546875" style="35" bestFit="1" customWidth="1"/>
    <col min="13" max="13" width="16.7109375" style="49" customWidth="1"/>
    <col min="14" max="14" width="20.5703125" style="49" customWidth="1"/>
    <col min="15" max="15" width="12.5703125" style="49" customWidth="1"/>
    <col min="16" max="16" width="19" style="49" customWidth="1"/>
    <col min="17" max="17" width="23" style="49" bestFit="1" customWidth="1"/>
    <col min="18" max="18" width="15.42578125" style="49" customWidth="1"/>
    <col min="19" max="19" width="17.140625" style="49" customWidth="1"/>
    <col min="20" max="20" width="19.85546875" style="49" bestFit="1" customWidth="1"/>
    <col min="21" max="21" width="17.7109375" style="35" customWidth="1"/>
    <col min="22" max="22" width="17.85546875" style="35" customWidth="1"/>
    <col min="23" max="23" width="17.42578125" style="35" customWidth="1"/>
    <col min="24" max="24" width="14.85546875" style="35" customWidth="1"/>
    <col min="25" max="25" width="15.42578125" style="35" customWidth="1"/>
    <col min="26" max="26" width="15.7109375" style="35" customWidth="1"/>
    <col min="27" max="27" width="16.85546875" style="35" customWidth="1"/>
    <col min="28" max="28" width="14.5703125" style="35" customWidth="1"/>
    <col min="29" max="29" width="20" style="35" customWidth="1"/>
    <col min="30" max="30" width="18.140625" style="35" customWidth="1"/>
    <col min="31" max="31" width="23" style="35" customWidth="1"/>
    <col min="32" max="16384" width="8.7109375" style="35"/>
  </cols>
  <sheetData>
    <row r="1" spans="1:44" ht="67.5" x14ac:dyDescent="0.25">
      <c r="A1" s="36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  <c r="F1" s="36" t="s">
        <v>156</v>
      </c>
      <c r="G1" s="36" t="s">
        <v>157</v>
      </c>
      <c r="H1" s="36" t="s">
        <v>158</v>
      </c>
      <c r="I1" s="39" t="s">
        <v>159</v>
      </c>
      <c r="J1" s="36" t="s">
        <v>160</v>
      </c>
      <c r="K1" s="36" t="s">
        <v>161</v>
      </c>
      <c r="L1" s="50" t="s">
        <v>162</v>
      </c>
      <c r="M1" s="36" t="s">
        <v>873</v>
      </c>
      <c r="N1" s="58" t="s">
        <v>836</v>
      </c>
      <c r="O1" s="36" t="s">
        <v>842</v>
      </c>
      <c r="P1" s="36" t="s">
        <v>839</v>
      </c>
      <c r="Q1" s="36" t="s">
        <v>849</v>
      </c>
      <c r="R1" s="36" t="s">
        <v>840</v>
      </c>
      <c r="S1" s="36" t="s">
        <v>841</v>
      </c>
      <c r="T1" s="36" t="s">
        <v>838</v>
      </c>
      <c r="U1" s="36" t="s">
        <v>946</v>
      </c>
      <c r="V1" s="36" t="s">
        <v>947</v>
      </c>
      <c r="W1" s="36" t="s">
        <v>948</v>
      </c>
      <c r="X1" s="36" t="s">
        <v>986</v>
      </c>
      <c r="Y1" s="36" t="s">
        <v>949</v>
      </c>
      <c r="Z1" s="36" t="s">
        <v>993</v>
      </c>
      <c r="AA1" s="36" t="s">
        <v>994</v>
      </c>
      <c r="AB1" s="36" t="s">
        <v>989</v>
      </c>
      <c r="AC1" s="36" t="s">
        <v>1015</v>
      </c>
      <c r="AD1" s="36" t="s">
        <v>1016</v>
      </c>
      <c r="AE1" s="36" t="s">
        <v>1038</v>
      </c>
    </row>
    <row r="2" spans="1:44" hidden="1" x14ac:dyDescent="0.25">
      <c r="A2" s="41">
        <v>1</v>
      </c>
      <c r="B2" s="41" t="s">
        <v>163</v>
      </c>
      <c r="C2" s="41" t="s">
        <v>164</v>
      </c>
      <c r="D2" s="42" t="s">
        <v>165</v>
      </c>
      <c r="E2" s="43" t="s">
        <v>166</v>
      </c>
      <c r="F2" s="43" t="s">
        <v>167</v>
      </c>
      <c r="G2" s="41" t="s">
        <v>168</v>
      </c>
      <c r="H2" s="41" t="s">
        <v>169</v>
      </c>
      <c r="I2" s="44">
        <v>145500</v>
      </c>
      <c r="J2" s="41">
        <v>2698</v>
      </c>
      <c r="K2" s="100">
        <v>0.56000000000000005</v>
      </c>
      <c r="L2" s="51">
        <v>50</v>
      </c>
      <c r="M2" s="41"/>
      <c r="N2" s="101"/>
      <c r="O2" s="37"/>
      <c r="P2" s="41"/>
      <c r="Q2" s="41"/>
      <c r="R2" s="41"/>
      <c r="S2" s="41"/>
      <c r="T2" s="102"/>
      <c r="U2" s="41"/>
      <c r="V2" s="41"/>
      <c r="W2" s="41"/>
      <c r="X2" s="41"/>
      <c r="Y2" s="41"/>
      <c r="Z2" s="41"/>
      <c r="AA2" s="41"/>
      <c r="AB2" s="41"/>
      <c r="AC2" s="41"/>
      <c r="AD2" s="41"/>
      <c r="AE2" s="40"/>
    </row>
    <row r="3" spans="1:44" hidden="1" x14ac:dyDescent="0.25">
      <c r="A3" s="41">
        <f>A2+1</f>
        <v>2</v>
      </c>
      <c r="B3" s="41" t="s">
        <v>163</v>
      </c>
      <c r="C3" s="41" t="s">
        <v>164</v>
      </c>
      <c r="D3" s="42" t="s">
        <v>170</v>
      </c>
      <c r="E3" s="43" t="s">
        <v>171</v>
      </c>
      <c r="F3" s="43" t="s">
        <v>172</v>
      </c>
      <c r="G3" s="41" t="s">
        <v>173</v>
      </c>
      <c r="H3" s="41" t="s">
        <v>169</v>
      </c>
      <c r="I3" s="44">
        <v>50000</v>
      </c>
      <c r="J3" s="41" t="s">
        <v>174</v>
      </c>
      <c r="K3" s="100">
        <v>1</v>
      </c>
      <c r="L3" s="51">
        <v>75</v>
      </c>
      <c r="M3" s="41"/>
      <c r="N3" s="103"/>
      <c r="O3" s="37"/>
      <c r="P3" s="41"/>
      <c r="Q3" s="41"/>
      <c r="R3" s="41"/>
      <c r="S3" s="41"/>
      <c r="T3" s="102"/>
      <c r="U3" s="41"/>
      <c r="V3" s="41"/>
      <c r="W3" s="41"/>
      <c r="X3" s="41"/>
      <c r="Y3" s="41"/>
      <c r="Z3" s="41"/>
      <c r="AA3" s="41"/>
      <c r="AB3" s="41"/>
      <c r="AC3" s="41"/>
      <c r="AD3" s="41"/>
      <c r="AE3" s="40"/>
    </row>
    <row r="4" spans="1:44" hidden="1" x14ac:dyDescent="0.25">
      <c r="A4" s="41">
        <f t="shared" ref="A4:A67" si="0">A3+1</f>
        <v>3</v>
      </c>
      <c r="B4" s="41" t="s">
        <v>163</v>
      </c>
      <c r="C4" s="41" t="s">
        <v>164</v>
      </c>
      <c r="D4" s="42" t="s">
        <v>175</v>
      </c>
      <c r="E4" s="43" t="s">
        <v>166</v>
      </c>
      <c r="F4" s="43" t="s">
        <v>176</v>
      </c>
      <c r="G4" s="41" t="s">
        <v>177</v>
      </c>
      <c r="H4" s="41" t="s">
        <v>169</v>
      </c>
      <c r="I4" s="44">
        <v>35000</v>
      </c>
      <c r="J4" s="41" t="s">
        <v>178</v>
      </c>
      <c r="K4" s="100">
        <v>1</v>
      </c>
      <c r="L4" s="51">
        <v>75</v>
      </c>
      <c r="M4" s="41"/>
      <c r="N4" s="103"/>
      <c r="O4" s="37"/>
      <c r="P4" s="41"/>
      <c r="Q4" s="41"/>
      <c r="R4" s="41"/>
      <c r="S4" s="41"/>
      <c r="T4" s="102"/>
      <c r="U4" s="41"/>
      <c r="V4" s="41"/>
      <c r="W4" s="41"/>
      <c r="X4" s="41"/>
      <c r="Y4" s="41"/>
      <c r="Z4" s="41"/>
      <c r="AA4" s="41"/>
      <c r="AB4" s="41"/>
      <c r="AC4" s="41"/>
      <c r="AD4" s="41"/>
      <c r="AE4" s="40"/>
    </row>
    <row r="5" spans="1:44" hidden="1" x14ac:dyDescent="0.25">
      <c r="A5" s="41">
        <f t="shared" si="0"/>
        <v>4</v>
      </c>
      <c r="B5" s="41" t="s">
        <v>163</v>
      </c>
      <c r="C5" s="41" t="s">
        <v>179</v>
      </c>
      <c r="D5" s="42" t="s">
        <v>180</v>
      </c>
      <c r="E5" s="43" t="s">
        <v>171</v>
      </c>
      <c r="F5" s="43" t="s">
        <v>181</v>
      </c>
      <c r="G5" s="41" t="s">
        <v>182</v>
      </c>
      <c r="H5" s="41" t="s">
        <v>169</v>
      </c>
      <c r="I5" s="104">
        <v>86000</v>
      </c>
      <c r="J5" s="105">
        <v>1720</v>
      </c>
      <c r="K5" s="100">
        <v>1</v>
      </c>
      <c r="L5" s="51">
        <v>50</v>
      </c>
      <c r="M5" s="106">
        <v>220</v>
      </c>
      <c r="N5" s="103"/>
      <c r="O5" s="37">
        <v>45888</v>
      </c>
      <c r="P5" s="41"/>
      <c r="Q5" s="41" t="s">
        <v>980</v>
      </c>
      <c r="R5" s="41"/>
      <c r="S5" s="41"/>
      <c r="T5" s="107">
        <v>14000</v>
      </c>
      <c r="U5" s="41"/>
      <c r="V5" s="41"/>
      <c r="W5" s="41"/>
      <c r="X5" s="41"/>
      <c r="Y5" s="41"/>
      <c r="Z5" s="41"/>
      <c r="AA5" s="41"/>
      <c r="AB5" s="41"/>
      <c r="AC5" s="41"/>
      <c r="AD5" s="41"/>
      <c r="AE5" s="40"/>
    </row>
    <row r="6" spans="1:44" hidden="1" x14ac:dyDescent="0.25">
      <c r="A6" s="41">
        <f t="shared" si="0"/>
        <v>5</v>
      </c>
      <c r="B6" s="41" t="s">
        <v>163</v>
      </c>
      <c r="C6" s="41" t="s">
        <v>179</v>
      </c>
      <c r="D6" s="42" t="s">
        <v>183</v>
      </c>
      <c r="E6" s="43" t="s">
        <v>171</v>
      </c>
      <c r="F6" s="43" t="s">
        <v>181</v>
      </c>
      <c r="G6" s="41" t="s">
        <v>184</v>
      </c>
      <c r="H6" s="41" t="s">
        <v>169</v>
      </c>
      <c r="I6" s="104">
        <v>30000</v>
      </c>
      <c r="J6" s="108">
        <v>600</v>
      </c>
      <c r="K6" s="100">
        <v>0.85</v>
      </c>
      <c r="L6" s="51">
        <v>50</v>
      </c>
      <c r="M6" s="106">
        <v>60</v>
      </c>
      <c r="N6" s="103"/>
      <c r="O6" s="37">
        <v>45888</v>
      </c>
      <c r="P6" s="41"/>
      <c r="Q6" s="41" t="s">
        <v>1012</v>
      </c>
      <c r="R6" s="41"/>
      <c r="S6" s="41"/>
      <c r="T6" s="107">
        <v>9500</v>
      </c>
      <c r="U6" s="41"/>
      <c r="V6" s="41"/>
      <c r="W6" s="41"/>
      <c r="X6" s="41"/>
      <c r="Y6" s="41"/>
      <c r="Z6" s="41"/>
      <c r="AA6" s="41"/>
      <c r="AB6" s="41"/>
      <c r="AC6" s="41"/>
      <c r="AD6" s="41"/>
      <c r="AE6" s="40"/>
    </row>
    <row r="7" spans="1:44" hidden="1" x14ac:dyDescent="0.25">
      <c r="A7" s="41">
        <f t="shared" si="0"/>
        <v>6</v>
      </c>
      <c r="B7" s="41" t="s">
        <v>163</v>
      </c>
      <c r="C7" s="41" t="s">
        <v>179</v>
      </c>
      <c r="D7" s="42" t="s">
        <v>185</v>
      </c>
      <c r="E7" s="43" t="s">
        <v>171</v>
      </c>
      <c r="F7" s="43" t="s">
        <v>181</v>
      </c>
      <c r="G7" s="41" t="s">
        <v>184</v>
      </c>
      <c r="H7" s="41" t="s">
        <v>169</v>
      </c>
      <c r="I7" s="104">
        <v>20120</v>
      </c>
      <c r="J7" s="108">
        <v>402.4</v>
      </c>
      <c r="K7" s="100">
        <v>1</v>
      </c>
      <c r="L7" s="51">
        <v>50</v>
      </c>
      <c r="M7" s="106">
        <v>470</v>
      </c>
      <c r="N7" s="103"/>
      <c r="O7" s="37">
        <v>45888</v>
      </c>
      <c r="P7" s="41"/>
      <c r="Q7" s="41" t="s">
        <v>1002</v>
      </c>
      <c r="R7" s="41"/>
      <c r="S7" s="41"/>
      <c r="T7" s="107">
        <v>10000</v>
      </c>
      <c r="U7" s="41"/>
      <c r="V7" s="41"/>
      <c r="W7" s="41"/>
      <c r="X7" s="41"/>
      <c r="Y7" s="41"/>
      <c r="Z7" s="41"/>
      <c r="AA7" s="41"/>
      <c r="AB7" s="41"/>
      <c r="AC7" s="41"/>
      <c r="AD7" s="41"/>
      <c r="AE7" s="40"/>
    </row>
    <row r="8" spans="1:44" x14ac:dyDescent="0.25">
      <c r="A8" s="41">
        <f t="shared" si="0"/>
        <v>7</v>
      </c>
      <c r="B8" s="41" t="s">
        <v>163</v>
      </c>
      <c r="C8" s="41" t="s">
        <v>179</v>
      </c>
      <c r="D8" s="42" t="s">
        <v>186</v>
      </c>
      <c r="E8" s="43" t="s">
        <v>171</v>
      </c>
      <c r="F8" s="43" t="s">
        <v>181</v>
      </c>
      <c r="G8" s="41" t="s">
        <v>184</v>
      </c>
      <c r="H8" s="41" t="s">
        <v>169</v>
      </c>
      <c r="I8" s="104">
        <v>86000</v>
      </c>
      <c r="J8" s="108">
        <v>1720</v>
      </c>
      <c r="K8" s="100">
        <v>1</v>
      </c>
      <c r="L8" s="51">
        <v>50</v>
      </c>
      <c r="M8" s="109">
        <v>0</v>
      </c>
      <c r="N8" s="103"/>
      <c r="O8" s="37">
        <v>45888</v>
      </c>
      <c r="P8" s="41"/>
      <c r="Q8" s="41"/>
      <c r="R8" s="41"/>
      <c r="S8" s="41"/>
      <c r="T8" s="102"/>
      <c r="U8" s="41"/>
      <c r="V8" s="41"/>
      <c r="W8" s="41"/>
      <c r="X8" s="41"/>
      <c r="Y8" s="41"/>
      <c r="Z8" s="41"/>
      <c r="AA8" s="41"/>
      <c r="AB8" s="41"/>
      <c r="AC8" s="41"/>
      <c r="AD8" s="41"/>
      <c r="AE8" s="40"/>
      <c r="AR8" s="124"/>
    </row>
    <row r="9" spans="1:44" hidden="1" x14ac:dyDescent="0.25">
      <c r="A9" s="41">
        <f t="shared" si="0"/>
        <v>8</v>
      </c>
      <c r="B9" s="41" t="s">
        <v>163</v>
      </c>
      <c r="C9" s="41" t="s">
        <v>179</v>
      </c>
      <c r="D9" s="42" t="s">
        <v>187</v>
      </c>
      <c r="E9" s="43" t="s">
        <v>171</v>
      </c>
      <c r="F9" s="41" t="s">
        <v>172</v>
      </c>
      <c r="G9" s="41" t="s">
        <v>172</v>
      </c>
      <c r="H9" s="41" t="s">
        <v>248</v>
      </c>
      <c r="I9" s="104">
        <v>19000</v>
      </c>
      <c r="J9" s="105">
        <v>380</v>
      </c>
      <c r="K9" s="100">
        <v>0</v>
      </c>
      <c r="L9" s="51">
        <v>50</v>
      </c>
      <c r="M9" s="106">
        <v>405</v>
      </c>
      <c r="N9" s="103"/>
      <c r="O9" s="37">
        <v>45888</v>
      </c>
      <c r="P9" s="41"/>
      <c r="Q9" s="41" t="s">
        <v>1002</v>
      </c>
      <c r="R9" s="41"/>
      <c r="S9" s="41"/>
      <c r="T9" s="107">
        <v>7500</v>
      </c>
      <c r="U9" s="41"/>
      <c r="V9" s="41"/>
      <c r="W9" s="41"/>
      <c r="X9" s="41"/>
      <c r="Y9" s="41"/>
      <c r="Z9" s="41"/>
      <c r="AA9" s="41"/>
      <c r="AB9" s="41"/>
      <c r="AC9" s="41"/>
      <c r="AD9" s="41"/>
      <c r="AE9" s="40"/>
    </row>
    <row r="10" spans="1:44" hidden="1" x14ac:dyDescent="0.25">
      <c r="A10" s="41">
        <f t="shared" si="0"/>
        <v>9</v>
      </c>
      <c r="B10" s="41" t="s">
        <v>163</v>
      </c>
      <c r="C10" s="41" t="s">
        <v>179</v>
      </c>
      <c r="D10" s="42" t="s">
        <v>188</v>
      </c>
      <c r="E10" s="43" t="s">
        <v>171</v>
      </c>
      <c r="F10" s="41" t="s">
        <v>172</v>
      </c>
      <c r="G10" s="41" t="s">
        <v>172</v>
      </c>
      <c r="H10" s="41" t="s">
        <v>169</v>
      </c>
      <c r="I10" s="104">
        <v>22500</v>
      </c>
      <c r="J10" s="105">
        <v>450</v>
      </c>
      <c r="K10" s="100">
        <v>0.8</v>
      </c>
      <c r="L10" s="51">
        <v>50</v>
      </c>
      <c r="M10" s="106">
        <v>100</v>
      </c>
      <c r="N10" s="103"/>
      <c r="O10" s="37">
        <v>45888</v>
      </c>
      <c r="P10" s="41"/>
      <c r="Q10" s="41" t="s">
        <v>955</v>
      </c>
      <c r="R10" s="41"/>
      <c r="S10" s="41"/>
      <c r="T10" s="107">
        <v>7500</v>
      </c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0"/>
    </row>
    <row r="11" spans="1:44" hidden="1" x14ac:dyDescent="0.25">
      <c r="A11" s="41">
        <f t="shared" si="0"/>
        <v>10</v>
      </c>
      <c r="B11" s="41" t="s">
        <v>163</v>
      </c>
      <c r="C11" s="41" t="s">
        <v>179</v>
      </c>
      <c r="D11" s="42" t="s">
        <v>189</v>
      </c>
      <c r="E11" s="43" t="s">
        <v>171</v>
      </c>
      <c r="F11" s="41" t="s">
        <v>172</v>
      </c>
      <c r="G11" s="41" t="s">
        <v>172</v>
      </c>
      <c r="H11" s="41" t="s">
        <v>169</v>
      </c>
      <c r="I11" s="104">
        <v>31500</v>
      </c>
      <c r="J11" s="105">
        <v>630</v>
      </c>
      <c r="K11" s="100">
        <v>1</v>
      </c>
      <c r="L11" s="51">
        <v>50</v>
      </c>
      <c r="M11" s="106">
        <v>110</v>
      </c>
      <c r="N11" s="103"/>
      <c r="O11" s="37">
        <v>45888</v>
      </c>
      <c r="P11" s="41"/>
      <c r="Q11" s="41" t="s">
        <v>881</v>
      </c>
      <c r="R11" s="41"/>
      <c r="S11" s="41"/>
      <c r="T11" s="107">
        <v>7500</v>
      </c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0"/>
    </row>
    <row r="12" spans="1:44" hidden="1" x14ac:dyDescent="0.25">
      <c r="A12" s="41">
        <f t="shared" si="0"/>
        <v>11</v>
      </c>
      <c r="B12" s="41" t="s">
        <v>163</v>
      </c>
      <c r="C12" s="41" t="s">
        <v>179</v>
      </c>
      <c r="D12" s="42" t="s">
        <v>190</v>
      </c>
      <c r="E12" s="43" t="s">
        <v>171</v>
      </c>
      <c r="F12" s="41" t="s">
        <v>172</v>
      </c>
      <c r="G12" s="41" t="s">
        <v>172</v>
      </c>
      <c r="H12" s="41" t="s">
        <v>169</v>
      </c>
      <c r="I12" s="104">
        <v>29623</v>
      </c>
      <c r="J12" s="105">
        <v>592.46</v>
      </c>
      <c r="K12" s="100">
        <v>1</v>
      </c>
      <c r="L12" s="51">
        <v>50</v>
      </c>
      <c r="M12" s="106">
        <v>1560</v>
      </c>
      <c r="N12" s="103"/>
      <c r="O12" s="37">
        <v>45888</v>
      </c>
      <c r="P12" s="41"/>
      <c r="Q12" s="41" t="s">
        <v>1005</v>
      </c>
      <c r="R12" s="41"/>
      <c r="S12" s="41"/>
      <c r="T12" s="107">
        <v>12500</v>
      </c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0"/>
    </row>
    <row r="13" spans="1:44" hidden="1" x14ac:dyDescent="0.25">
      <c r="A13" s="41">
        <f t="shared" si="0"/>
        <v>12</v>
      </c>
      <c r="B13" s="41" t="s">
        <v>163</v>
      </c>
      <c r="C13" s="41" t="s">
        <v>179</v>
      </c>
      <c r="D13" s="42" t="s">
        <v>191</v>
      </c>
      <c r="E13" s="43" t="s">
        <v>171</v>
      </c>
      <c r="F13" s="43" t="s">
        <v>192</v>
      </c>
      <c r="G13" s="41" t="s">
        <v>193</v>
      </c>
      <c r="H13" s="41" t="s">
        <v>169</v>
      </c>
      <c r="I13" s="104">
        <v>30160</v>
      </c>
      <c r="J13" s="105">
        <v>603.20000000000005</v>
      </c>
      <c r="K13" s="100">
        <v>0.5</v>
      </c>
      <c r="L13" s="51">
        <v>50</v>
      </c>
      <c r="M13" s="106">
        <v>300</v>
      </c>
      <c r="N13" s="103" t="s">
        <v>1011</v>
      </c>
      <c r="O13" s="37">
        <v>45888</v>
      </c>
      <c r="P13" s="41"/>
      <c r="Q13" s="41" t="s">
        <v>879</v>
      </c>
      <c r="R13" s="41"/>
      <c r="S13" s="41"/>
      <c r="T13" s="107">
        <v>8500</v>
      </c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0"/>
    </row>
    <row r="14" spans="1:44" hidden="1" x14ac:dyDescent="0.25">
      <c r="A14" s="41">
        <f t="shared" si="0"/>
        <v>13</v>
      </c>
      <c r="B14" s="41" t="s">
        <v>163</v>
      </c>
      <c r="C14" s="41" t="s">
        <v>179</v>
      </c>
      <c r="D14" s="42" t="s">
        <v>194</v>
      </c>
      <c r="E14" s="43" t="s">
        <v>166</v>
      </c>
      <c r="F14" s="43" t="s">
        <v>167</v>
      </c>
      <c r="G14" s="41" t="s">
        <v>195</v>
      </c>
      <c r="H14" s="41" t="s">
        <v>169</v>
      </c>
      <c r="I14" s="44">
        <v>105242</v>
      </c>
      <c r="J14" s="41">
        <v>2104.84</v>
      </c>
      <c r="K14" s="100">
        <v>1</v>
      </c>
      <c r="L14" s="51">
        <v>50</v>
      </c>
      <c r="M14" s="106">
        <v>450</v>
      </c>
      <c r="N14" s="103"/>
      <c r="O14" s="37">
        <v>45888</v>
      </c>
      <c r="P14" s="41"/>
      <c r="Q14" s="41" t="s">
        <v>1003</v>
      </c>
      <c r="R14" s="41"/>
      <c r="S14" s="41"/>
      <c r="T14" s="107">
        <v>12000</v>
      </c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0"/>
    </row>
    <row r="15" spans="1:44" hidden="1" x14ac:dyDescent="0.25">
      <c r="A15" s="41">
        <f t="shared" si="0"/>
        <v>14</v>
      </c>
      <c r="B15" s="41" t="s">
        <v>163</v>
      </c>
      <c r="C15" s="41" t="s">
        <v>179</v>
      </c>
      <c r="D15" s="42" t="s">
        <v>196</v>
      </c>
      <c r="E15" s="43" t="s">
        <v>166</v>
      </c>
      <c r="F15" s="43" t="s">
        <v>167</v>
      </c>
      <c r="G15" s="41" t="s">
        <v>168</v>
      </c>
      <c r="H15" s="41" t="s">
        <v>169</v>
      </c>
      <c r="I15" s="44">
        <v>38000</v>
      </c>
      <c r="J15" s="41">
        <v>760</v>
      </c>
      <c r="K15" s="100">
        <v>0</v>
      </c>
      <c r="L15" s="51">
        <v>50</v>
      </c>
      <c r="M15" s="106">
        <v>300</v>
      </c>
      <c r="N15" s="103"/>
      <c r="O15" s="37">
        <v>45888</v>
      </c>
      <c r="P15" s="41"/>
      <c r="Q15" s="41" t="s">
        <v>1004</v>
      </c>
      <c r="R15" s="41"/>
      <c r="S15" s="41"/>
      <c r="T15" s="107">
        <v>12000</v>
      </c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0"/>
    </row>
    <row r="16" spans="1:44" hidden="1" x14ac:dyDescent="0.25">
      <c r="A16" s="41">
        <f t="shared" si="0"/>
        <v>15</v>
      </c>
      <c r="B16" s="41" t="s">
        <v>163</v>
      </c>
      <c r="C16" s="41" t="s">
        <v>179</v>
      </c>
      <c r="D16" s="42" t="s">
        <v>197</v>
      </c>
      <c r="E16" s="43" t="s">
        <v>166</v>
      </c>
      <c r="F16" s="43" t="s">
        <v>198</v>
      </c>
      <c r="G16" s="41" t="s">
        <v>199</v>
      </c>
      <c r="H16" s="41" t="s">
        <v>169</v>
      </c>
      <c r="I16" s="44">
        <v>46000</v>
      </c>
      <c r="J16" s="41">
        <v>920</v>
      </c>
      <c r="K16" s="100">
        <v>1</v>
      </c>
      <c r="L16" s="51">
        <v>50</v>
      </c>
      <c r="M16" s="106">
        <v>150</v>
      </c>
      <c r="N16" s="103"/>
      <c r="O16" s="37">
        <v>45888</v>
      </c>
      <c r="P16" s="41"/>
      <c r="Q16" s="41" t="s">
        <v>981</v>
      </c>
      <c r="R16" s="41"/>
      <c r="S16" s="41"/>
      <c r="T16" s="107">
        <v>9500</v>
      </c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0"/>
    </row>
    <row r="17" spans="1:31" hidden="1" x14ac:dyDescent="0.25">
      <c r="A17" s="41">
        <f t="shared" si="0"/>
        <v>16</v>
      </c>
      <c r="B17" s="41" t="s">
        <v>163</v>
      </c>
      <c r="C17" s="41" t="s">
        <v>179</v>
      </c>
      <c r="D17" s="42" t="s">
        <v>200</v>
      </c>
      <c r="E17" s="43" t="s">
        <v>166</v>
      </c>
      <c r="F17" s="43" t="s">
        <v>198</v>
      </c>
      <c r="G17" s="41" t="s">
        <v>201</v>
      </c>
      <c r="H17" s="41" t="s">
        <v>169</v>
      </c>
      <c r="I17" s="44">
        <v>21227</v>
      </c>
      <c r="J17" s="41">
        <v>424.54</v>
      </c>
      <c r="K17" s="100">
        <v>0.7</v>
      </c>
      <c r="L17" s="51">
        <v>50</v>
      </c>
      <c r="M17" s="106">
        <v>100</v>
      </c>
      <c r="N17" s="103"/>
      <c r="O17" s="37">
        <v>45888</v>
      </c>
      <c r="P17" s="41"/>
      <c r="Q17" s="41" t="s">
        <v>1001</v>
      </c>
      <c r="R17" s="41"/>
      <c r="S17" s="41"/>
      <c r="T17" s="107">
        <v>9500</v>
      </c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0"/>
    </row>
    <row r="18" spans="1:31" x14ac:dyDescent="0.25">
      <c r="A18" s="41">
        <f t="shared" si="0"/>
        <v>17</v>
      </c>
      <c r="B18" s="41" t="s">
        <v>163</v>
      </c>
      <c r="C18" s="41" t="s">
        <v>179</v>
      </c>
      <c r="D18" s="42" t="s">
        <v>202</v>
      </c>
      <c r="E18" s="43" t="s">
        <v>166</v>
      </c>
      <c r="F18" s="43" t="s">
        <v>198</v>
      </c>
      <c r="G18" s="41" t="s">
        <v>203</v>
      </c>
      <c r="H18" s="41" t="s">
        <v>169</v>
      </c>
      <c r="I18" s="44">
        <v>20000</v>
      </c>
      <c r="J18" s="41">
        <v>400</v>
      </c>
      <c r="K18" s="100">
        <v>0.8</v>
      </c>
      <c r="L18" s="51">
        <v>50</v>
      </c>
      <c r="M18" s="109">
        <v>0</v>
      </c>
      <c r="N18" s="103"/>
      <c r="O18" s="37">
        <v>45888</v>
      </c>
      <c r="P18" s="41"/>
      <c r="Q18" s="41"/>
      <c r="R18" s="41"/>
      <c r="S18" s="41"/>
      <c r="T18" s="102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0"/>
    </row>
    <row r="19" spans="1:31" hidden="1" x14ac:dyDescent="0.25">
      <c r="A19" s="41">
        <f t="shared" si="0"/>
        <v>18</v>
      </c>
      <c r="B19" s="41" t="s">
        <v>163</v>
      </c>
      <c r="C19" s="41" t="s">
        <v>179</v>
      </c>
      <c r="D19" s="42" t="s">
        <v>204</v>
      </c>
      <c r="E19" s="43"/>
      <c r="F19" s="43" t="s">
        <v>176</v>
      </c>
      <c r="G19" s="41" t="s">
        <v>205</v>
      </c>
      <c r="H19" s="41" t="s">
        <v>169</v>
      </c>
      <c r="I19" s="44">
        <v>24000</v>
      </c>
      <c r="J19" s="41">
        <v>480</v>
      </c>
      <c r="K19" s="100">
        <v>0.9</v>
      </c>
      <c r="L19" s="51">
        <v>50</v>
      </c>
      <c r="M19" s="106">
        <v>70</v>
      </c>
      <c r="N19" s="103"/>
      <c r="O19" s="37">
        <v>45888</v>
      </c>
      <c r="P19" s="41"/>
      <c r="Q19" s="41" t="s">
        <v>981</v>
      </c>
      <c r="R19" s="41"/>
      <c r="S19" s="41"/>
      <c r="T19" s="107">
        <v>10500</v>
      </c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0"/>
    </row>
    <row r="20" spans="1:31" x14ac:dyDescent="0.25">
      <c r="A20" s="41">
        <f t="shared" si="0"/>
        <v>19</v>
      </c>
      <c r="B20" s="41" t="s">
        <v>163</v>
      </c>
      <c r="C20" s="41" t="s">
        <v>179</v>
      </c>
      <c r="D20" s="42" t="s">
        <v>206</v>
      </c>
      <c r="E20" s="43" t="s">
        <v>166</v>
      </c>
      <c r="F20" s="43" t="s">
        <v>176</v>
      </c>
      <c r="G20" s="41" t="s">
        <v>207</v>
      </c>
      <c r="H20" s="41" t="s">
        <v>169</v>
      </c>
      <c r="I20" s="44">
        <v>21000</v>
      </c>
      <c r="J20" s="41">
        <v>420</v>
      </c>
      <c r="K20" s="100">
        <v>1</v>
      </c>
      <c r="L20" s="51">
        <v>50</v>
      </c>
      <c r="M20" s="109">
        <v>0</v>
      </c>
      <c r="N20" s="103"/>
      <c r="O20" s="37">
        <v>45888</v>
      </c>
      <c r="P20" s="41"/>
      <c r="Q20" s="41"/>
      <c r="R20" s="41"/>
      <c r="S20" s="41"/>
      <c r="T20" s="102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0"/>
    </row>
    <row r="21" spans="1:31" hidden="1" x14ac:dyDescent="0.25">
      <c r="A21" s="41">
        <f t="shared" si="0"/>
        <v>20</v>
      </c>
      <c r="B21" s="41" t="s">
        <v>163</v>
      </c>
      <c r="C21" s="41" t="s">
        <v>179</v>
      </c>
      <c r="D21" s="42" t="s">
        <v>1007</v>
      </c>
      <c r="E21" s="43" t="s">
        <v>166</v>
      </c>
      <c r="F21" s="43" t="s">
        <v>208</v>
      </c>
      <c r="G21" s="41" t="s">
        <v>209</v>
      </c>
      <c r="H21" s="41" t="s">
        <v>169</v>
      </c>
      <c r="I21" s="44">
        <v>43000</v>
      </c>
      <c r="J21" s="41">
        <v>860</v>
      </c>
      <c r="K21" s="100">
        <v>0.5</v>
      </c>
      <c r="L21" s="51">
        <v>50</v>
      </c>
      <c r="M21" s="106">
        <v>410</v>
      </c>
      <c r="N21" s="103"/>
      <c r="O21" s="37">
        <v>45888</v>
      </c>
      <c r="P21" s="41"/>
      <c r="Q21" s="41" t="s">
        <v>1008</v>
      </c>
      <c r="R21" s="41"/>
      <c r="S21" s="41"/>
      <c r="T21" s="107">
        <v>14000</v>
      </c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0"/>
    </row>
    <row r="22" spans="1:31" hidden="1" x14ac:dyDescent="0.25">
      <c r="A22" s="41">
        <f t="shared" si="0"/>
        <v>21</v>
      </c>
      <c r="B22" s="41" t="s">
        <v>163</v>
      </c>
      <c r="C22" s="41" t="s">
        <v>179</v>
      </c>
      <c r="D22" s="42" t="s">
        <v>210</v>
      </c>
      <c r="E22" s="43" t="s">
        <v>171</v>
      </c>
      <c r="F22" s="43" t="s">
        <v>208</v>
      </c>
      <c r="G22" s="41" t="s">
        <v>211</v>
      </c>
      <c r="H22" s="41" t="s">
        <v>169</v>
      </c>
      <c r="I22" s="44">
        <v>25000</v>
      </c>
      <c r="J22" s="41">
        <v>500</v>
      </c>
      <c r="K22" s="100">
        <v>0.5</v>
      </c>
      <c r="L22" s="51">
        <v>50</v>
      </c>
      <c r="M22" s="106">
        <v>350</v>
      </c>
      <c r="N22" s="103" t="s">
        <v>1010</v>
      </c>
      <c r="O22" s="37">
        <v>45888</v>
      </c>
      <c r="P22" s="41"/>
      <c r="Q22" s="41" t="s">
        <v>1009</v>
      </c>
      <c r="R22" s="41"/>
      <c r="S22" s="41"/>
      <c r="T22" s="107">
        <v>8500</v>
      </c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0"/>
    </row>
    <row r="23" spans="1:31" hidden="1" x14ac:dyDescent="0.25">
      <c r="A23" s="41">
        <f t="shared" si="0"/>
        <v>22</v>
      </c>
      <c r="B23" s="41" t="s">
        <v>163</v>
      </c>
      <c r="C23" s="41" t="s">
        <v>179</v>
      </c>
      <c r="D23" s="42" t="s">
        <v>212</v>
      </c>
      <c r="E23" s="43" t="s">
        <v>166</v>
      </c>
      <c r="F23" s="43" t="s">
        <v>181</v>
      </c>
      <c r="G23" s="41" t="s">
        <v>213</v>
      </c>
      <c r="H23" s="41" t="s">
        <v>169</v>
      </c>
      <c r="I23" s="44">
        <v>67500</v>
      </c>
      <c r="J23" s="41">
        <v>1350</v>
      </c>
      <c r="K23" s="100">
        <v>0</v>
      </c>
      <c r="L23" s="51">
        <v>50</v>
      </c>
      <c r="M23" s="106">
        <v>950</v>
      </c>
      <c r="N23" s="101"/>
      <c r="O23" s="37">
        <v>45888</v>
      </c>
      <c r="P23" s="41"/>
      <c r="Q23" s="41" t="s">
        <v>1001</v>
      </c>
      <c r="R23" s="41"/>
      <c r="S23" s="41"/>
      <c r="T23" s="107">
        <v>12000</v>
      </c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0"/>
    </row>
    <row r="24" spans="1:31" x14ac:dyDescent="0.25">
      <c r="A24" s="41">
        <f t="shared" si="0"/>
        <v>23</v>
      </c>
      <c r="B24" s="41" t="s">
        <v>163</v>
      </c>
      <c r="C24" s="41" t="s">
        <v>179</v>
      </c>
      <c r="D24" s="42" t="s">
        <v>214</v>
      </c>
      <c r="E24" s="43" t="s">
        <v>166</v>
      </c>
      <c r="F24" s="43" t="s">
        <v>215</v>
      </c>
      <c r="G24" s="41" t="s">
        <v>216</v>
      </c>
      <c r="H24" s="41" t="s">
        <v>169</v>
      </c>
      <c r="I24" s="44">
        <v>83000</v>
      </c>
      <c r="J24" s="45">
        <v>1660</v>
      </c>
      <c r="K24" s="100">
        <v>0.9</v>
      </c>
      <c r="L24" s="51">
        <v>50</v>
      </c>
      <c r="M24" s="109">
        <v>0</v>
      </c>
      <c r="N24" s="103"/>
      <c r="O24" s="37">
        <v>45888</v>
      </c>
      <c r="P24" s="41"/>
      <c r="Q24" s="41"/>
      <c r="R24" s="41"/>
      <c r="S24" s="41"/>
      <c r="T24" s="102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0"/>
    </row>
    <row r="25" spans="1:31" hidden="1" x14ac:dyDescent="0.25">
      <c r="A25" s="41">
        <f t="shared" si="0"/>
        <v>24</v>
      </c>
      <c r="B25" s="41" t="s">
        <v>163</v>
      </c>
      <c r="C25" s="41" t="s">
        <v>179</v>
      </c>
      <c r="D25" s="42" t="s">
        <v>217</v>
      </c>
      <c r="E25" s="43" t="s">
        <v>171</v>
      </c>
      <c r="F25" s="43" t="s">
        <v>215</v>
      </c>
      <c r="G25" s="41" t="s">
        <v>218</v>
      </c>
      <c r="H25" s="41" t="s">
        <v>169</v>
      </c>
      <c r="I25" s="44">
        <v>40000</v>
      </c>
      <c r="J25" s="45">
        <v>800</v>
      </c>
      <c r="K25" s="100">
        <v>0</v>
      </c>
      <c r="L25" s="51">
        <v>50</v>
      </c>
      <c r="M25" s="106">
        <v>700</v>
      </c>
      <c r="N25" s="103"/>
      <c r="O25" s="37">
        <v>45888</v>
      </c>
      <c r="P25" s="41"/>
      <c r="Q25" s="41" t="s">
        <v>1005</v>
      </c>
      <c r="R25" s="41"/>
      <c r="S25" s="41"/>
      <c r="T25" s="107">
        <v>17000</v>
      </c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0"/>
    </row>
    <row r="26" spans="1:31" x14ac:dyDescent="0.25">
      <c r="A26" s="41">
        <f t="shared" si="0"/>
        <v>25</v>
      </c>
      <c r="B26" s="41" t="s">
        <v>163</v>
      </c>
      <c r="C26" s="41" t="s">
        <v>179</v>
      </c>
      <c r="D26" s="42" t="s">
        <v>219</v>
      </c>
      <c r="E26" s="43" t="s">
        <v>171</v>
      </c>
      <c r="F26" s="43" t="s">
        <v>215</v>
      </c>
      <c r="G26" s="41" t="s">
        <v>220</v>
      </c>
      <c r="H26" s="41" t="s">
        <v>169</v>
      </c>
      <c r="I26" s="44">
        <v>7000</v>
      </c>
      <c r="J26" s="45">
        <v>140</v>
      </c>
      <c r="K26" s="100">
        <v>1</v>
      </c>
      <c r="L26" s="51">
        <v>50</v>
      </c>
      <c r="M26" s="109">
        <v>0</v>
      </c>
      <c r="N26" s="103"/>
      <c r="O26" s="37">
        <v>45888</v>
      </c>
      <c r="P26" s="41"/>
      <c r="Q26" s="41"/>
      <c r="R26" s="41"/>
      <c r="S26" s="41"/>
      <c r="T26" s="102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0"/>
    </row>
    <row r="27" spans="1:31" hidden="1" x14ac:dyDescent="0.25">
      <c r="A27" s="41">
        <f t="shared" si="0"/>
        <v>26</v>
      </c>
      <c r="B27" s="41" t="s">
        <v>163</v>
      </c>
      <c r="C27" s="41" t="s">
        <v>179</v>
      </c>
      <c r="D27" s="42" t="s">
        <v>221</v>
      </c>
      <c r="E27" s="43" t="s">
        <v>171</v>
      </c>
      <c r="F27" s="43" t="s">
        <v>215</v>
      </c>
      <c r="G27" s="41" t="s">
        <v>220</v>
      </c>
      <c r="H27" s="41" t="s">
        <v>169</v>
      </c>
      <c r="I27" s="44">
        <v>15000</v>
      </c>
      <c r="J27" s="45">
        <v>300</v>
      </c>
      <c r="K27" s="100">
        <v>1</v>
      </c>
      <c r="L27" s="51">
        <v>50</v>
      </c>
      <c r="M27" s="106">
        <v>70</v>
      </c>
      <c r="N27" s="103"/>
      <c r="O27" s="37">
        <v>45888</v>
      </c>
      <c r="P27" s="41"/>
      <c r="Q27" s="41" t="s">
        <v>979</v>
      </c>
      <c r="R27" s="41"/>
      <c r="S27" s="41"/>
      <c r="T27" s="107">
        <v>12500</v>
      </c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0"/>
    </row>
    <row r="28" spans="1:31" hidden="1" x14ac:dyDescent="0.25">
      <c r="A28" s="41">
        <f t="shared" si="0"/>
        <v>27</v>
      </c>
      <c r="B28" s="41" t="s">
        <v>163</v>
      </c>
      <c r="C28" s="41" t="s">
        <v>179</v>
      </c>
      <c r="D28" s="42" t="s">
        <v>222</v>
      </c>
      <c r="E28" s="43" t="s">
        <v>171</v>
      </c>
      <c r="F28" s="43" t="s">
        <v>215</v>
      </c>
      <c r="G28" s="41" t="s">
        <v>220</v>
      </c>
      <c r="H28" s="41" t="s">
        <v>169</v>
      </c>
      <c r="I28" s="44">
        <v>15000</v>
      </c>
      <c r="J28" s="45">
        <v>300</v>
      </c>
      <c r="K28" s="100">
        <v>0</v>
      </c>
      <c r="L28" s="51">
        <v>50</v>
      </c>
      <c r="M28" s="106">
        <v>320</v>
      </c>
      <c r="N28" s="103"/>
      <c r="O28" s="37">
        <v>45888</v>
      </c>
      <c r="P28" s="41"/>
      <c r="Q28" s="41" t="s">
        <v>1006</v>
      </c>
      <c r="R28" s="41"/>
      <c r="S28" s="41"/>
      <c r="T28" s="107">
        <v>12500</v>
      </c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0"/>
    </row>
    <row r="29" spans="1:31" x14ac:dyDescent="0.25">
      <c r="A29" s="41">
        <f t="shared" si="0"/>
        <v>28</v>
      </c>
      <c r="B29" s="41" t="s">
        <v>163</v>
      </c>
      <c r="C29" s="41" t="s">
        <v>179</v>
      </c>
      <c r="D29" s="41" t="s">
        <v>223</v>
      </c>
      <c r="E29" s="41"/>
      <c r="F29" s="41" t="s">
        <v>198</v>
      </c>
      <c r="G29" s="41" t="s">
        <v>224</v>
      </c>
      <c r="H29" s="43" t="s">
        <v>169</v>
      </c>
      <c r="I29" s="44">
        <v>22000</v>
      </c>
      <c r="J29" s="46">
        <v>440</v>
      </c>
      <c r="K29" s="41"/>
      <c r="L29" s="51"/>
      <c r="M29" s="109">
        <v>0</v>
      </c>
      <c r="N29" s="103"/>
      <c r="O29" s="37">
        <v>45888</v>
      </c>
      <c r="P29" s="41"/>
      <c r="Q29" s="41"/>
      <c r="R29" s="41"/>
      <c r="S29" s="41"/>
      <c r="T29" s="102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0"/>
    </row>
    <row r="30" spans="1:31" hidden="1" x14ac:dyDescent="0.25">
      <c r="A30" s="41">
        <f t="shared" si="0"/>
        <v>29</v>
      </c>
      <c r="B30" s="41" t="s">
        <v>163</v>
      </c>
      <c r="C30" s="41" t="s">
        <v>225</v>
      </c>
      <c r="D30" s="42" t="s">
        <v>226</v>
      </c>
      <c r="E30" s="43" t="s">
        <v>227</v>
      </c>
      <c r="F30" s="41" t="s">
        <v>172</v>
      </c>
      <c r="G30" s="41" t="s">
        <v>228</v>
      </c>
      <c r="H30" s="41" t="s">
        <v>169</v>
      </c>
      <c r="I30" s="44">
        <v>16000</v>
      </c>
      <c r="J30" s="41">
        <v>400</v>
      </c>
      <c r="K30" s="100">
        <v>1</v>
      </c>
      <c r="L30" s="51">
        <v>40</v>
      </c>
      <c r="M30" s="41"/>
      <c r="N30" s="103"/>
      <c r="O30" s="37"/>
      <c r="P30" s="41"/>
      <c r="Q30" s="41"/>
      <c r="R30" s="41"/>
      <c r="S30" s="41"/>
      <c r="T30" s="102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0"/>
    </row>
    <row r="31" spans="1:31" hidden="1" x14ac:dyDescent="0.25">
      <c r="A31" s="41">
        <f t="shared" si="0"/>
        <v>30</v>
      </c>
      <c r="B31" s="41" t="s">
        <v>163</v>
      </c>
      <c r="C31" s="41" t="s">
        <v>225</v>
      </c>
      <c r="D31" s="42" t="s">
        <v>229</v>
      </c>
      <c r="E31" s="43" t="s">
        <v>227</v>
      </c>
      <c r="F31" s="41" t="s">
        <v>172</v>
      </c>
      <c r="G31" s="41" t="s">
        <v>228</v>
      </c>
      <c r="H31" s="41" t="s">
        <v>169</v>
      </c>
      <c r="I31" s="44">
        <v>12000</v>
      </c>
      <c r="J31" s="41">
        <v>300</v>
      </c>
      <c r="K31" s="100">
        <v>0.9</v>
      </c>
      <c r="L31" s="51">
        <v>40</v>
      </c>
      <c r="M31" s="41"/>
      <c r="N31" s="103"/>
      <c r="O31" s="37"/>
      <c r="P31" s="41"/>
      <c r="Q31" s="41"/>
      <c r="R31" s="41"/>
      <c r="S31" s="41"/>
      <c r="T31" s="102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0"/>
    </row>
    <row r="32" spans="1:31" hidden="1" x14ac:dyDescent="0.25">
      <c r="A32" s="41">
        <f t="shared" si="0"/>
        <v>31</v>
      </c>
      <c r="B32" s="41" t="s">
        <v>163</v>
      </c>
      <c r="C32" s="41" t="s">
        <v>225</v>
      </c>
      <c r="D32" s="42" t="s">
        <v>230</v>
      </c>
      <c r="E32" s="43" t="s">
        <v>227</v>
      </c>
      <c r="F32" s="41" t="s">
        <v>172</v>
      </c>
      <c r="G32" s="41" t="s">
        <v>231</v>
      </c>
      <c r="H32" s="41" t="s">
        <v>169</v>
      </c>
      <c r="I32" s="44">
        <v>10000</v>
      </c>
      <c r="J32" s="41">
        <v>250</v>
      </c>
      <c r="K32" s="100">
        <v>0.9</v>
      </c>
      <c r="L32" s="51">
        <v>40</v>
      </c>
      <c r="M32" s="41"/>
      <c r="N32" s="103"/>
      <c r="O32" s="37"/>
      <c r="P32" s="41"/>
      <c r="Q32" s="41"/>
      <c r="R32" s="41"/>
      <c r="S32" s="41"/>
      <c r="T32" s="102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0"/>
    </row>
    <row r="33" spans="1:31" hidden="1" x14ac:dyDescent="0.25">
      <c r="A33" s="41">
        <f t="shared" si="0"/>
        <v>32</v>
      </c>
      <c r="B33" s="41" t="s">
        <v>163</v>
      </c>
      <c r="C33" s="41" t="s">
        <v>225</v>
      </c>
      <c r="D33" s="42" t="s">
        <v>232</v>
      </c>
      <c r="E33" s="43" t="s">
        <v>227</v>
      </c>
      <c r="F33" s="41" t="s">
        <v>172</v>
      </c>
      <c r="G33" s="41" t="s">
        <v>233</v>
      </c>
      <c r="H33" s="41" t="s">
        <v>169</v>
      </c>
      <c r="I33" s="44">
        <v>16000</v>
      </c>
      <c r="J33" s="41">
        <v>400</v>
      </c>
      <c r="K33" s="100">
        <v>0</v>
      </c>
      <c r="L33" s="51">
        <v>40</v>
      </c>
      <c r="M33" s="41"/>
      <c r="N33" s="103"/>
      <c r="O33" s="37"/>
      <c r="P33" s="41"/>
      <c r="Q33" s="41"/>
      <c r="R33" s="41"/>
      <c r="S33" s="41"/>
      <c r="T33" s="102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0"/>
    </row>
    <row r="34" spans="1:31" hidden="1" x14ac:dyDescent="0.25">
      <c r="A34" s="41">
        <f t="shared" si="0"/>
        <v>33</v>
      </c>
      <c r="B34" s="41" t="s">
        <v>163</v>
      </c>
      <c r="C34" s="41" t="s">
        <v>234</v>
      </c>
      <c r="D34" s="41" t="s">
        <v>235</v>
      </c>
      <c r="E34" s="43" t="s">
        <v>171</v>
      </c>
      <c r="F34" s="43" t="s">
        <v>176</v>
      </c>
      <c r="G34" s="41" t="s">
        <v>236</v>
      </c>
      <c r="H34" s="41" t="s">
        <v>169</v>
      </c>
      <c r="I34" s="41">
        <v>50000</v>
      </c>
      <c r="J34" s="41">
        <v>950</v>
      </c>
      <c r="K34" s="100">
        <v>0.97</v>
      </c>
      <c r="L34" s="52">
        <v>52.631578947368418</v>
      </c>
      <c r="M34" s="106">
        <v>102</v>
      </c>
      <c r="N34" s="103"/>
      <c r="O34" s="37">
        <v>45910</v>
      </c>
      <c r="P34" s="41"/>
      <c r="Q34" s="41"/>
      <c r="R34" s="41"/>
      <c r="S34" s="41"/>
      <c r="T34" s="102" t="s">
        <v>943</v>
      </c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0"/>
    </row>
    <row r="35" spans="1:31" hidden="1" x14ac:dyDescent="0.25">
      <c r="A35" s="41">
        <f t="shared" si="0"/>
        <v>34</v>
      </c>
      <c r="B35" s="41" t="s">
        <v>163</v>
      </c>
      <c r="C35" s="41" t="s">
        <v>234</v>
      </c>
      <c r="D35" s="41" t="s">
        <v>237</v>
      </c>
      <c r="E35" s="43" t="s">
        <v>166</v>
      </c>
      <c r="F35" s="43" t="s">
        <v>198</v>
      </c>
      <c r="G35" s="41" t="s">
        <v>238</v>
      </c>
      <c r="H35" s="41" t="s">
        <v>169</v>
      </c>
      <c r="I35" s="41">
        <v>90000</v>
      </c>
      <c r="J35" s="41">
        <v>604</v>
      </c>
      <c r="K35" s="100">
        <v>0.65</v>
      </c>
      <c r="L35" s="52">
        <v>52.941176470588232</v>
      </c>
      <c r="M35" s="106">
        <v>680</v>
      </c>
      <c r="N35" s="103"/>
      <c r="O35" s="37">
        <v>45910</v>
      </c>
      <c r="P35" s="41"/>
      <c r="Q35" s="41"/>
      <c r="R35" s="41"/>
      <c r="S35" s="41"/>
      <c r="T35" s="102" t="s">
        <v>938</v>
      </c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0"/>
    </row>
    <row r="36" spans="1:31" hidden="1" x14ac:dyDescent="0.25">
      <c r="A36" s="41">
        <f t="shared" si="0"/>
        <v>35</v>
      </c>
      <c r="B36" s="41" t="s">
        <v>163</v>
      </c>
      <c r="C36" s="41" t="s">
        <v>234</v>
      </c>
      <c r="D36" s="41" t="s">
        <v>239</v>
      </c>
      <c r="E36" s="43" t="s">
        <v>171</v>
      </c>
      <c r="F36" s="43" t="s">
        <v>167</v>
      </c>
      <c r="G36" s="41" t="s">
        <v>240</v>
      </c>
      <c r="H36" s="41" t="s">
        <v>169</v>
      </c>
      <c r="I36" s="41">
        <v>60000</v>
      </c>
      <c r="J36" s="41">
        <v>1150</v>
      </c>
      <c r="K36" s="100">
        <v>0.7</v>
      </c>
      <c r="L36" s="52">
        <v>52.173913043478258</v>
      </c>
      <c r="M36" s="106">
        <v>510</v>
      </c>
      <c r="N36" s="103"/>
      <c r="O36" s="37">
        <v>45910</v>
      </c>
      <c r="P36" s="41"/>
      <c r="Q36" s="41"/>
      <c r="R36" s="41"/>
      <c r="S36" s="41"/>
      <c r="T36" s="102" t="s">
        <v>940</v>
      </c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0"/>
    </row>
    <row r="37" spans="1:31" hidden="1" x14ac:dyDescent="0.25">
      <c r="A37" s="41">
        <f t="shared" si="0"/>
        <v>36</v>
      </c>
      <c r="B37" s="41" t="s">
        <v>163</v>
      </c>
      <c r="C37" s="41" t="s">
        <v>234</v>
      </c>
      <c r="D37" s="41" t="s">
        <v>241</v>
      </c>
      <c r="E37" s="43" t="s">
        <v>171</v>
      </c>
      <c r="F37" s="43" t="s">
        <v>215</v>
      </c>
      <c r="G37" s="41" t="s">
        <v>347</v>
      </c>
      <c r="H37" s="41" t="s">
        <v>169</v>
      </c>
      <c r="I37" s="41">
        <v>45000</v>
      </c>
      <c r="J37" s="45">
        <v>850</v>
      </c>
      <c r="K37" s="100">
        <v>0.96</v>
      </c>
      <c r="L37" s="52">
        <v>52.941176470588232</v>
      </c>
      <c r="M37" s="106">
        <v>220</v>
      </c>
      <c r="N37" s="103"/>
      <c r="O37" s="37">
        <v>45910</v>
      </c>
      <c r="P37" s="41"/>
      <c r="Q37" s="41"/>
      <c r="R37" s="41"/>
      <c r="S37" s="41"/>
      <c r="T37" s="102" t="s">
        <v>942</v>
      </c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0"/>
    </row>
    <row r="38" spans="1:31" hidden="1" x14ac:dyDescent="0.25">
      <c r="A38" s="41">
        <f t="shared" si="0"/>
        <v>37</v>
      </c>
      <c r="B38" s="41" t="s">
        <v>163</v>
      </c>
      <c r="C38" s="41" t="s">
        <v>234</v>
      </c>
      <c r="D38" s="41" t="s">
        <v>242</v>
      </c>
      <c r="E38" s="43" t="s">
        <v>166</v>
      </c>
      <c r="F38" s="43" t="s">
        <v>181</v>
      </c>
      <c r="G38" s="41" t="s">
        <v>371</v>
      </c>
      <c r="H38" s="41" t="s">
        <v>169</v>
      </c>
      <c r="I38" s="41">
        <v>55000</v>
      </c>
      <c r="J38" s="41">
        <v>279</v>
      </c>
      <c r="K38" s="100">
        <v>0.86</v>
      </c>
      <c r="L38" s="51">
        <v>55</v>
      </c>
      <c r="M38" s="106">
        <v>82</v>
      </c>
      <c r="N38" s="103"/>
      <c r="O38" s="37">
        <v>45910</v>
      </c>
      <c r="P38" s="41"/>
      <c r="Q38" s="41"/>
      <c r="R38" s="41"/>
      <c r="S38" s="41"/>
      <c r="T38" s="102" t="s">
        <v>939</v>
      </c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0"/>
    </row>
    <row r="39" spans="1:31" hidden="1" x14ac:dyDescent="0.25">
      <c r="A39" s="41">
        <f t="shared" si="0"/>
        <v>38</v>
      </c>
      <c r="B39" s="41" t="s">
        <v>163</v>
      </c>
      <c r="C39" s="41" t="s">
        <v>234</v>
      </c>
      <c r="D39" s="41" t="s">
        <v>243</v>
      </c>
      <c r="E39" s="43" t="s">
        <v>171</v>
      </c>
      <c r="F39" s="43" t="s">
        <v>181</v>
      </c>
      <c r="G39" s="41" t="s">
        <v>184</v>
      </c>
      <c r="H39" s="41" t="s">
        <v>169</v>
      </c>
      <c r="I39" s="41">
        <v>30000</v>
      </c>
      <c r="J39" s="45">
        <v>600</v>
      </c>
      <c r="K39" s="100">
        <v>0.82</v>
      </c>
      <c r="L39" s="52">
        <v>50</v>
      </c>
      <c r="M39" s="106">
        <v>114</v>
      </c>
      <c r="N39" s="103"/>
      <c r="O39" s="37">
        <v>45910</v>
      </c>
      <c r="P39" s="41"/>
      <c r="Q39" s="41"/>
      <c r="R39" s="41"/>
      <c r="S39" s="41"/>
      <c r="T39" s="102" t="s">
        <v>941</v>
      </c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0"/>
    </row>
    <row r="40" spans="1:31" hidden="1" x14ac:dyDescent="0.25">
      <c r="A40" s="41">
        <f t="shared" si="0"/>
        <v>39</v>
      </c>
      <c r="B40" s="41" t="s">
        <v>163</v>
      </c>
      <c r="C40" s="41" t="s">
        <v>50</v>
      </c>
      <c r="D40" s="42" t="s">
        <v>244</v>
      </c>
      <c r="E40" s="43" t="s">
        <v>166</v>
      </c>
      <c r="F40" s="43" t="s">
        <v>198</v>
      </c>
      <c r="G40" s="41" t="s">
        <v>224</v>
      </c>
      <c r="H40" s="41" t="s">
        <v>169</v>
      </c>
      <c r="I40" s="44">
        <v>46000</v>
      </c>
      <c r="J40" s="41">
        <v>450</v>
      </c>
      <c r="K40" s="100">
        <v>0.7</v>
      </c>
      <c r="L40" s="51">
        <v>15000</v>
      </c>
      <c r="M40" s="41"/>
      <c r="N40" s="103"/>
      <c r="O40" s="37"/>
      <c r="P40" s="41"/>
      <c r="Q40" s="41"/>
      <c r="R40" s="41"/>
      <c r="S40" s="41"/>
      <c r="T40" s="102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0"/>
    </row>
    <row r="41" spans="1:31" x14ac:dyDescent="0.25">
      <c r="A41" s="41">
        <f t="shared" si="0"/>
        <v>40</v>
      </c>
      <c r="B41" s="41" t="s">
        <v>163</v>
      </c>
      <c r="C41" s="41" t="s">
        <v>245</v>
      </c>
      <c r="D41" s="42" t="s">
        <v>246</v>
      </c>
      <c r="E41" s="43" t="s">
        <v>227</v>
      </c>
      <c r="F41" s="41" t="s">
        <v>167</v>
      </c>
      <c r="G41" s="41" t="s">
        <v>247</v>
      </c>
      <c r="H41" s="41" t="s">
        <v>248</v>
      </c>
      <c r="I41" s="44">
        <v>26000</v>
      </c>
      <c r="J41" s="41">
        <v>650</v>
      </c>
      <c r="K41" s="100">
        <v>1</v>
      </c>
      <c r="L41" s="51">
        <v>40</v>
      </c>
      <c r="M41" s="109">
        <v>0</v>
      </c>
      <c r="N41" s="103"/>
      <c r="O41" s="37">
        <v>45883</v>
      </c>
      <c r="P41" s="41"/>
      <c r="Q41" s="41"/>
      <c r="R41" s="41"/>
      <c r="S41" s="41"/>
      <c r="T41" s="102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0"/>
    </row>
    <row r="42" spans="1:31" x14ac:dyDescent="0.25">
      <c r="A42" s="41">
        <f t="shared" si="0"/>
        <v>41</v>
      </c>
      <c r="B42" s="41" t="s">
        <v>163</v>
      </c>
      <c r="C42" s="41" t="s">
        <v>245</v>
      </c>
      <c r="D42" s="42" t="s">
        <v>249</v>
      </c>
      <c r="E42" s="43" t="s">
        <v>227</v>
      </c>
      <c r="F42" s="41" t="s">
        <v>172</v>
      </c>
      <c r="G42" s="41" t="s">
        <v>228</v>
      </c>
      <c r="H42" s="41" t="s">
        <v>169</v>
      </c>
      <c r="I42" s="44">
        <v>16600</v>
      </c>
      <c r="J42" s="41">
        <v>415</v>
      </c>
      <c r="K42" s="100">
        <v>1</v>
      </c>
      <c r="L42" s="51">
        <v>40</v>
      </c>
      <c r="M42" s="109">
        <v>0</v>
      </c>
      <c r="N42" s="103"/>
      <c r="O42" s="37">
        <v>45883</v>
      </c>
      <c r="P42" s="41"/>
      <c r="Q42" s="41"/>
      <c r="R42" s="41"/>
      <c r="S42" s="41"/>
      <c r="T42" s="102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0"/>
    </row>
    <row r="43" spans="1:31" hidden="1" x14ac:dyDescent="0.25">
      <c r="A43" s="41">
        <f t="shared" si="0"/>
        <v>42</v>
      </c>
      <c r="B43" s="41" t="s">
        <v>163</v>
      </c>
      <c r="C43" s="41" t="s">
        <v>245</v>
      </c>
      <c r="D43" s="42" t="s">
        <v>969</v>
      </c>
      <c r="E43" s="41" t="s">
        <v>227</v>
      </c>
      <c r="F43" s="41" t="s">
        <v>172</v>
      </c>
      <c r="G43" s="41" t="s">
        <v>970</v>
      </c>
      <c r="H43" s="41" t="s">
        <v>248</v>
      </c>
      <c r="I43" s="41"/>
      <c r="J43" s="41"/>
      <c r="K43" s="41"/>
      <c r="L43" s="41"/>
      <c r="M43" s="106">
        <v>390</v>
      </c>
      <c r="N43" s="41"/>
      <c r="O43" s="37">
        <v>45883</v>
      </c>
      <c r="P43" s="41"/>
      <c r="Q43" s="41" t="s">
        <v>957</v>
      </c>
      <c r="R43" s="41"/>
      <c r="S43" s="41"/>
      <c r="T43" s="102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0"/>
    </row>
    <row r="44" spans="1:31" x14ac:dyDescent="0.25">
      <c r="A44" s="41">
        <f t="shared" si="0"/>
        <v>43</v>
      </c>
      <c r="B44" s="41" t="s">
        <v>163</v>
      </c>
      <c r="C44" s="41" t="s">
        <v>245</v>
      </c>
      <c r="D44" s="42" t="s">
        <v>250</v>
      </c>
      <c r="E44" s="43" t="s">
        <v>227</v>
      </c>
      <c r="F44" s="41" t="s">
        <v>167</v>
      </c>
      <c r="G44" s="41" t="s">
        <v>1078</v>
      </c>
      <c r="H44" s="41" t="s">
        <v>169</v>
      </c>
      <c r="I44" s="44">
        <v>16000</v>
      </c>
      <c r="J44" s="41">
        <v>400</v>
      </c>
      <c r="K44" s="100">
        <v>1</v>
      </c>
      <c r="L44" s="51">
        <v>40</v>
      </c>
      <c r="M44" s="109">
        <v>0</v>
      </c>
      <c r="N44" s="103"/>
      <c r="O44" s="37">
        <v>45883</v>
      </c>
      <c r="P44" s="41"/>
      <c r="Q44" s="41"/>
      <c r="R44" s="41"/>
      <c r="S44" s="41"/>
      <c r="T44" s="102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0"/>
    </row>
    <row r="45" spans="1:31" x14ac:dyDescent="0.25">
      <c r="A45" s="41">
        <f t="shared" si="0"/>
        <v>44</v>
      </c>
      <c r="B45" s="41" t="s">
        <v>163</v>
      </c>
      <c r="C45" s="41" t="s">
        <v>245</v>
      </c>
      <c r="D45" s="42" t="s">
        <v>251</v>
      </c>
      <c r="E45" s="43" t="s">
        <v>227</v>
      </c>
      <c r="F45" s="41" t="s">
        <v>181</v>
      </c>
      <c r="G45" s="41" t="s">
        <v>184</v>
      </c>
      <c r="H45" s="41" t="s">
        <v>169</v>
      </c>
      <c r="I45" s="44">
        <v>18000</v>
      </c>
      <c r="J45" s="41">
        <v>450</v>
      </c>
      <c r="K45" s="100">
        <v>1</v>
      </c>
      <c r="L45" s="51">
        <v>40</v>
      </c>
      <c r="M45" s="109">
        <v>0</v>
      </c>
      <c r="N45" s="103"/>
      <c r="O45" s="37">
        <v>45883</v>
      </c>
      <c r="P45" s="41"/>
      <c r="Q45" s="41"/>
      <c r="R45" s="41"/>
      <c r="S45" s="41"/>
      <c r="T45" s="102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0"/>
    </row>
    <row r="46" spans="1:31" x14ac:dyDescent="0.25">
      <c r="A46" s="41">
        <f t="shared" si="0"/>
        <v>45</v>
      </c>
      <c r="B46" s="41" t="s">
        <v>163</v>
      </c>
      <c r="C46" s="41" t="s">
        <v>245</v>
      </c>
      <c r="D46" s="42" t="s">
        <v>252</v>
      </c>
      <c r="E46" s="43" t="s">
        <v>227</v>
      </c>
      <c r="F46" s="41" t="s">
        <v>181</v>
      </c>
      <c r="G46" s="41" t="s">
        <v>184</v>
      </c>
      <c r="H46" s="41" t="s">
        <v>169</v>
      </c>
      <c r="I46" s="44">
        <v>6520</v>
      </c>
      <c r="J46" s="41">
        <v>163</v>
      </c>
      <c r="K46" s="100">
        <v>1</v>
      </c>
      <c r="L46" s="51">
        <v>40</v>
      </c>
      <c r="M46" s="109">
        <v>0</v>
      </c>
      <c r="N46" s="103"/>
      <c r="O46" s="37">
        <v>45883</v>
      </c>
      <c r="P46" s="41"/>
      <c r="Q46" s="41"/>
      <c r="R46" s="41"/>
      <c r="S46" s="41"/>
      <c r="T46" s="102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0"/>
    </row>
    <row r="47" spans="1:31" x14ac:dyDescent="0.25">
      <c r="A47" s="41">
        <f t="shared" si="0"/>
        <v>46</v>
      </c>
      <c r="B47" s="41" t="s">
        <v>163</v>
      </c>
      <c r="C47" s="41" t="s">
        <v>245</v>
      </c>
      <c r="D47" s="42" t="s">
        <v>253</v>
      </c>
      <c r="E47" s="43" t="s">
        <v>227</v>
      </c>
      <c r="F47" s="41" t="s">
        <v>181</v>
      </c>
      <c r="G47" s="41" t="s">
        <v>184</v>
      </c>
      <c r="H47" s="41" t="s">
        <v>169</v>
      </c>
      <c r="I47" s="44">
        <v>10000</v>
      </c>
      <c r="J47" s="41">
        <v>250</v>
      </c>
      <c r="K47" s="100">
        <v>1</v>
      </c>
      <c r="L47" s="51">
        <v>40</v>
      </c>
      <c r="M47" s="109">
        <v>0</v>
      </c>
      <c r="N47" s="103"/>
      <c r="O47" s="37">
        <v>45883</v>
      </c>
      <c r="P47" s="41"/>
      <c r="Q47" s="41"/>
      <c r="R47" s="41"/>
      <c r="S47" s="41"/>
      <c r="T47" s="102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0"/>
    </row>
    <row r="48" spans="1:31" hidden="1" x14ac:dyDescent="0.25">
      <c r="A48" s="41">
        <f t="shared" si="0"/>
        <v>47</v>
      </c>
      <c r="B48" s="41" t="s">
        <v>163</v>
      </c>
      <c r="C48" s="41" t="s">
        <v>245</v>
      </c>
      <c r="D48" s="42" t="s">
        <v>254</v>
      </c>
      <c r="E48" s="43" t="s">
        <v>227</v>
      </c>
      <c r="F48" s="41" t="s">
        <v>181</v>
      </c>
      <c r="G48" s="41" t="s">
        <v>184</v>
      </c>
      <c r="H48" s="41" t="s">
        <v>169</v>
      </c>
      <c r="I48" s="44">
        <v>14000</v>
      </c>
      <c r="J48" s="41">
        <v>350</v>
      </c>
      <c r="K48" s="100">
        <v>1</v>
      </c>
      <c r="L48" s="51">
        <v>40</v>
      </c>
      <c r="M48" s="106">
        <v>80</v>
      </c>
      <c r="N48" s="103"/>
      <c r="O48" s="37">
        <v>45883</v>
      </c>
      <c r="P48" s="41"/>
      <c r="Q48" s="41" t="s">
        <v>968</v>
      </c>
      <c r="R48" s="41"/>
      <c r="S48" s="41"/>
      <c r="T48" s="102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0"/>
    </row>
    <row r="49" spans="1:31" x14ac:dyDescent="0.25">
      <c r="A49" s="41">
        <f t="shared" si="0"/>
        <v>48</v>
      </c>
      <c r="B49" s="41" t="s">
        <v>163</v>
      </c>
      <c r="C49" s="41" t="s">
        <v>245</v>
      </c>
      <c r="D49" s="42" t="s">
        <v>255</v>
      </c>
      <c r="E49" s="43" t="s">
        <v>227</v>
      </c>
      <c r="F49" s="41" t="s">
        <v>215</v>
      </c>
      <c r="G49" s="41" t="s">
        <v>256</v>
      </c>
      <c r="H49" s="41" t="s">
        <v>248</v>
      </c>
      <c r="I49" s="44">
        <v>14000</v>
      </c>
      <c r="J49" s="41">
        <v>350</v>
      </c>
      <c r="K49" s="100">
        <v>0.5</v>
      </c>
      <c r="L49" s="51">
        <v>40</v>
      </c>
      <c r="M49" s="109">
        <v>0</v>
      </c>
      <c r="N49" s="103"/>
      <c r="O49" s="37">
        <v>45883</v>
      </c>
      <c r="P49" s="41"/>
      <c r="Q49" s="41"/>
      <c r="R49" s="41"/>
      <c r="S49" s="41"/>
      <c r="T49" s="102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0"/>
    </row>
    <row r="50" spans="1:31" x14ac:dyDescent="0.25">
      <c r="A50" s="41">
        <f t="shared" si="0"/>
        <v>49</v>
      </c>
      <c r="B50" s="41" t="s">
        <v>163</v>
      </c>
      <c r="C50" s="41" t="s">
        <v>245</v>
      </c>
      <c r="D50" s="42" t="s">
        <v>257</v>
      </c>
      <c r="E50" s="43" t="s">
        <v>227</v>
      </c>
      <c r="F50" s="41" t="s">
        <v>215</v>
      </c>
      <c r="G50" s="41" t="s">
        <v>256</v>
      </c>
      <c r="H50" s="41" t="s">
        <v>248</v>
      </c>
      <c r="I50" s="44">
        <v>2600</v>
      </c>
      <c r="J50" s="41">
        <v>65</v>
      </c>
      <c r="K50" s="100">
        <v>1</v>
      </c>
      <c r="L50" s="51">
        <v>40</v>
      </c>
      <c r="M50" s="109">
        <v>0</v>
      </c>
      <c r="N50" s="103"/>
      <c r="O50" s="37">
        <v>45883</v>
      </c>
      <c r="P50" s="41"/>
      <c r="Q50" s="41"/>
      <c r="R50" s="41"/>
      <c r="S50" s="41"/>
      <c r="T50" s="102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0"/>
    </row>
    <row r="51" spans="1:31" x14ac:dyDescent="0.25">
      <c r="A51" s="41">
        <f t="shared" si="0"/>
        <v>50</v>
      </c>
      <c r="B51" s="41" t="s">
        <v>163</v>
      </c>
      <c r="C51" s="41" t="s">
        <v>245</v>
      </c>
      <c r="D51" s="42" t="s">
        <v>258</v>
      </c>
      <c r="E51" s="43" t="s">
        <v>227</v>
      </c>
      <c r="F51" s="41" t="s">
        <v>215</v>
      </c>
      <c r="G51" s="41" t="s">
        <v>259</v>
      </c>
      <c r="H51" s="41" t="s">
        <v>248</v>
      </c>
      <c r="I51" s="44">
        <v>2280</v>
      </c>
      <c r="J51" s="41">
        <v>57</v>
      </c>
      <c r="K51" s="100">
        <v>1</v>
      </c>
      <c r="L51" s="51">
        <v>40</v>
      </c>
      <c r="M51" s="109">
        <v>0</v>
      </c>
      <c r="N51" s="103"/>
      <c r="O51" s="37">
        <v>45883</v>
      </c>
      <c r="P51" s="41"/>
      <c r="Q51" s="41"/>
      <c r="R51" s="41"/>
      <c r="S51" s="41"/>
      <c r="T51" s="102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0"/>
    </row>
    <row r="52" spans="1:31" x14ac:dyDescent="0.25">
      <c r="A52" s="41">
        <f t="shared" si="0"/>
        <v>51</v>
      </c>
      <c r="B52" s="41" t="s">
        <v>163</v>
      </c>
      <c r="C52" s="41" t="s">
        <v>245</v>
      </c>
      <c r="D52" s="42" t="s">
        <v>260</v>
      </c>
      <c r="E52" s="43" t="s">
        <v>227</v>
      </c>
      <c r="F52" s="41" t="s">
        <v>215</v>
      </c>
      <c r="G52" s="41" t="s">
        <v>261</v>
      </c>
      <c r="H52" s="41" t="s">
        <v>169</v>
      </c>
      <c r="I52" s="44">
        <v>9640</v>
      </c>
      <c r="J52" s="41">
        <v>241</v>
      </c>
      <c r="K52" s="100">
        <v>1</v>
      </c>
      <c r="L52" s="51">
        <v>40</v>
      </c>
      <c r="M52" s="109">
        <v>0</v>
      </c>
      <c r="N52" s="103"/>
      <c r="O52" s="37">
        <v>45883</v>
      </c>
      <c r="P52" s="41"/>
      <c r="Q52" s="41"/>
      <c r="R52" s="41"/>
      <c r="S52" s="41"/>
      <c r="T52" s="102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0"/>
    </row>
    <row r="53" spans="1:31" x14ac:dyDescent="0.25">
      <c r="A53" s="41">
        <f t="shared" si="0"/>
        <v>52</v>
      </c>
      <c r="B53" s="41" t="s">
        <v>163</v>
      </c>
      <c r="C53" s="41" t="s">
        <v>245</v>
      </c>
      <c r="D53" s="42" t="s">
        <v>262</v>
      </c>
      <c r="E53" s="43" t="s">
        <v>227</v>
      </c>
      <c r="F53" s="41" t="s">
        <v>215</v>
      </c>
      <c r="G53" s="41" t="s">
        <v>261</v>
      </c>
      <c r="H53" s="41" t="s">
        <v>169</v>
      </c>
      <c r="I53" s="44">
        <v>19520</v>
      </c>
      <c r="J53" s="41">
        <v>488</v>
      </c>
      <c r="K53" s="100">
        <v>1</v>
      </c>
      <c r="L53" s="51">
        <v>40</v>
      </c>
      <c r="M53" s="109">
        <v>0</v>
      </c>
      <c r="N53" s="103"/>
      <c r="O53" s="37">
        <v>45883</v>
      </c>
      <c r="P53" s="41"/>
      <c r="Q53" s="41"/>
      <c r="R53" s="41"/>
      <c r="S53" s="41"/>
      <c r="T53" s="102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0"/>
    </row>
    <row r="54" spans="1:31" x14ac:dyDescent="0.25">
      <c r="A54" s="41">
        <f t="shared" si="0"/>
        <v>53</v>
      </c>
      <c r="B54" s="41" t="s">
        <v>163</v>
      </c>
      <c r="C54" s="41" t="s">
        <v>245</v>
      </c>
      <c r="D54" s="42" t="s">
        <v>263</v>
      </c>
      <c r="E54" s="43" t="s">
        <v>227</v>
      </c>
      <c r="F54" s="41" t="s">
        <v>215</v>
      </c>
      <c r="G54" s="41" t="s">
        <v>261</v>
      </c>
      <c r="H54" s="41" t="s">
        <v>169</v>
      </c>
      <c r="I54" s="44">
        <v>6000</v>
      </c>
      <c r="J54" s="41">
        <v>150</v>
      </c>
      <c r="K54" s="100">
        <v>1</v>
      </c>
      <c r="L54" s="51">
        <v>40</v>
      </c>
      <c r="M54" s="109">
        <v>0</v>
      </c>
      <c r="N54" s="103"/>
      <c r="O54" s="37">
        <v>45883</v>
      </c>
      <c r="P54" s="41"/>
      <c r="Q54" s="41"/>
      <c r="R54" s="41"/>
      <c r="S54" s="41"/>
      <c r="T54" s="102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0"/>
    </row>
    <row r="55" spans="1:31" x14ac:dyDescent="0.25">
      <c r="A55" s="41">
        <f t="shared" si="0"/>
        <v>54</v>
      </c>
      <c r="B55" s="41" t="s">
        <v>163</v>
      </c>
      <c r="C55" s="41" t="s">
        <v>245</v>
      </c>
      <c r="D55" s="42" t="s">
        <v>264</v>
      </c>
      <c r="E55" s="43" t="s">
        <v>227</v>
      </c>
      <c r="F55" s="41" t="s">
        <v>215</v>
      </c>
      <c r="G55" s="41" t="s">
        <v>265</v>
      </c>
      <c r="H55" s="41" t="s">
        <v>248</v>
      </c>
      <c r="I55" s="44">
        <v>7800</v>
      </c>
      <c r="J55" s="41">
        <v>195</v>
      </c>
      <c r="K55" s="100">
        <v>0.05</v>
      </c>
      <c r="L55" s="51">
        <v>40</v>
      </c>
      <c r="M55" s="109">
        <v>0</v>
      </c>
      <c r="N55" s="103"/>
      <c r="O55" s="37">
        <v>45883</v>
      </c>
      <c r="P55" s="41"/>
      <c r="Q55" s="41"/>
      <c r="R55" s="41"/>
      <c r="S55" s="41"/>
      <c r="T55" s="102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0"/>
    </row>
    <row r="56" spans="1:31" hidden="1" x14ac:dyDescent="0.25">
      <c r="A56" s="41">
        <f t="shared" si="0"/>
        <v>55</v>
      </c>
      <c r="B56" s="41" t="s">
        <v>163</v>
      </c>
      <c r="C56" s="41" t="s">
        <v>266</v>
      </c>
      <c r="D56" s="42" t="s">
        <v>267</v>
      </c>
      <c r="E56" s="43" t="s">
        <v>166</v>
      </c>
      <c r="F56" s="43" t="s">
        <v>167</v>
      </c>
      <c r="G56" s="41" t="s">
        <v>195</v>
      </c>
      <c r="H56" s="41" t="s">
        <v>248</v>
      </c>
      <c r="I56" s="44">
        <v>195000</v>
      </c>
      <c r="J56" s="41">
        <v>3000</v>
      </c>
      <c r="K56" s="100">
        <v>0.9</v>
      </c>
      <c r="L56" s="53">
        <v>65</v>
      </c>
      <c r="M56" s="106">
        <v>170</v>
      </c>
      <c r="N56" s="103"/>
      <c r="O56" s="37">
        <v>45901</v>
      </c>
      <c r="P56" s="41"/>
      <c r="Q56" s="41"/>
      <c r="R56" s="41"/>
      <c r="S56" s="41"/>
      <c r="T56" s="102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122" t="s">
        <v>195</v>
      </c>
    </row>
    <row r="57" spans="1:31" x14ac:dyDescent="0.25">
      <c r="A57" s="41">
        <f t="shared" si="0"/>
        <v>56</v>
      </c>
      <c r="B57" s="41" t="s">
        <v>163</v>
      </c>
      <c r="C57" s="41" t="s">
        <v>266</v>
      </c>
      <c r="D57" s="42" t="s">
        <v>268</v>
      </c>
      <c r="E57" s="43" t="s">
        <v>166</v>
      </c>
      <c r="F57" s="43" t="s">
        <v>181</v>
      </c>
      <c r="G57" s="41" t="s">
        <v>184</v>
      </c>
      <c r="H57" s="41" t="s">
        <v>169</v>
      </c>
      <c r="I57" s="44">
        <v>29250</v>
      </c>
      <c r="J57" s="45">
        <v>450</v>
      </c>
      <c r="K57" s="100">
        <v>1</v>
      </c>
      <c r="L57" s="53">
        <v>65</v>
      </c>
      <c r="M57" s="109">
        <v>0</v>
      </c>
      <c r="N57" s="103"/>
      <c r="O57" s="37">
        <v>45901</v>
      </c>
      <c r="P57" s="41"/>
      <c r="Q57" s="41"/>
      <c r="R57" s="41"/>
      <c r="S57" s="41"/>
      <c r="T57" s="102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0"/>
    </row>
    <row r="58" spans="1:31" hidden="1" x14ac:dyDescent="0.25">
      <c r="A58" s="41">
        <f t="shared" si="0"/>
        <v>57</v>
      </c>
      <c r="B58" s="41" t="s">
        <v>163</v>
      </c>
      <c r="C58" s="41" t="s">
        <v>266</v>
      </c>
      <c r="D58" s="42" t="s">
        <v>269</v>
      </c>
      <c r="E58" s="43" t="s">
        <v>166</v>
      </c>
      <c r="F58" s="43" t="s">
        <v>176</v>
      </c>
      <c r="G58" s="41" t="s">
        <v>270</v>
      </c>
      <c r="H58" s="41" t="s">
        <v>248</v>
      </c>
      <c r="I58" s="44">
        <v>58500</v>
      </c>
      <c r="J58" s="41">
        <v>900</v>
      </c>
      <c r="K58" s="100">
        <v>0.9</v>
      </c>
      <c r="L58" s="53">
        <v>65</v>
      </c>
      <c r="M58" s="106">
        <v>140</v>
      </c>
      <c r="N58" s="103"/>
      <c r="O58" s="37">
        <v>45901</v>
      </c>
      <c r="P58" s="41"/>
      <c r="Q58" s="41"/>
      <c r="R58" s="41"/>
      <c r="S58" s="41"/>
      <c r="T58" s="102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0"/>
    </row>
    <row r="59" spans="1:31" hidden="1" x14ac:dyDescent="0.25">
      <c r="A59" s="41">
        <f t="shared" si="0"/>
        <v>58</v>
      </c>
      <c r="B59" s="41" t="s">
        <v>163</v>
      </c>
      <c r="C59" s="41" t="s">
        <v>266</v>
      </c>
      <c r="D59" s="42" t="s">
        <v>271</v>
      </c>
      <c r="E59" s="43" t="s">
        <v>166</v>
      </c>
      <c r="F59" s="43" t="s">
        <v>198</v>
      </c>
      <c r="G59" s="41" t="s">
        <v>272</v>
      </c>
      <c r="H59" s="41" t="s">
        <v>169</v>
      </c>
      <c r="I59" s="44">
        <v>117000</v>
      </c>
      <c r="J59" s="41">
        <v>1800</v>
      </c>
      <c r="K59" s="100"/>
      <c r="L59" s="53">
        <v>65</v>
      </c>
      <c r="M59" s="106" t="s">
        <v>1049</v>
      </c>
      <c r="N59" s="103"/>
      <c r="O59" s="37">
        <v>45901</v>
      </c>
      <c r="P59" s="41"/>
      <c r="Q59" s="41"/>
      <c r="R59" s="41"/>
      <c r="S59" s="41"/>
      <c r="T59" s="102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0"/>
    </row>
    <row r="60" spans="1:31" hidden="1" x14ac:dyDescent="0.25">
      <c r="A60" s="41">
        <f t="shared" si="0"/>
        <v>59</v>
      </c>
      <c r="B60" s="41" t="s">
        <v>163</v>
      </c>
      <c r="C60" s="41" t="s">
        <v>273</v>
      </c>
      <c r="D60" s="41" t="s">
        <v>274</v>
      </c>
      <c r="E60" s="43"/>
      <c r="F60" s="41" t="s">
        <v>275</v>
      </c>
      <c r="G60" s="41" t="s">
        <v>276</v>
      </c>
      <c r="H60" s="43"/>
      <c r="I60" s="41">
        <v>15175</v>
      </c>
      <c r="J60" s="41">
        <v>328</v>
      </c>
      <c r="K60" s="100"/>
      <c r="L60" s="101"/>
      <c r="M60" s="109" t="s">
        <v>886</v>
      </c>
      <c r="N60" s="103"/>
      <c r="O60" s="37">
        <v>45903</v>
      </c>
      <c r="P60" s="41"/>
      <c r="Q60" s="41"/>
      <c r="R60" s="41"/>
      <c r="S60" s="41"/>
      <c r="T60" s="107">
        <v>10500</v>
      </c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0"/>
    </row>
    <row r="61" spans="1:31" x14ac:dyDescent="0.25">
      <c r="A61" s="41">
        <f t="shared" si="0"/>
        <v>60</v>
      </c>
      <c r="B61" s="41" t="s">
        <v>163</v>
      </c>
      <c r="C61" s="41" t="s">
        <v>273</v>
      </c>
      <c r="D61" s="41" t="s">
        <v>277</v>
      </c>
      <c r="E61" s="43"/>
      <c r="F61" s="41" t="s">
        <v>192</v>
      </c>
      <c r="G61" s="41" t="s">
        <v>278</v>
      </c>
      <c r="H61" s="43"/>
      <c r="I61" s="41">
        <v>26362</v>
      </c>
      <c r="J61" s="41">
        <v>400</v>
      </c>
      <c r="K61" s="100"/>
      <c r="L61" s="51"/>
      <c r="M61" s="109">
        <v>0</v>
      </c>
      <c r="N61" s="103"/>
      <c r="O61" s="37">
        <v>45903</v>
      </c>
      <c r="P61" s="41"/>
      <c r="Q61" s="41"/>
      <c r="R61" s="41"/>
      <c r="S61" s="41"/>
      <c r="T61" s="102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0"/>
    </row>
    <row r="62" spans="1:31" hidden="1" x14ac:dyDescent="0.25">
      <c r="A62" s="41">
        <f t="shared" si="0"/>
        <v>61</v>
      </c>
      <c r="B62" s="41" t="s">
        <v>163</v>
      </c>
      <c r="C62" s="41" t="s">
        <v>273</v>
      </c>
      <c r="D62" s="41" t="s">
        <v>279</v>
      </c>
      <c r="E62" s="43"/>
      <c r="F62" s="41" t="s">
        <v>275</v>
      </c>
      <c r="G62" s="41" t="s">
        <v>280</v>
      </c>
      <c r="H62" s="43"/>
      <c r="I62" s="41">
        <v>29800</v>
      </c>
      <c r="J62" s="41">
        <v>720</v>
      </c>
      <c r="K62" s="100"/>
      <c r="L62" s="51"/>
      <c r="M62" s="106">
        <v>12</v>
      </c>
      <c r="N62" s="103"/>
      <c r="O62" s="37">
        <v>45903</v>
      </c>
      <c r="P62" s="41"/>
      <c r="Q62" s="41"/>
      <c r="R62" s="41"/>
      <c r="S62" s="41"/>
      <c r="T62" s="107">
        <v>9500</v>
      </c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0"/>
    </row>
    <row r="63" spans="1:31" hidden="1" x14ac:dyDescent="0.25">
      <c r="A63" s="41">
        <f t="shared" si="0"/>
        <v>62</v>
      </c>
      <c r="B63" s="41" t="s">
        <v>163</v>
      </c>
      <c r="C63" s="41" t="s">
        <v>273</v>
      </c>
      <c r="D63" s="41" t="s">
        <v>281</v>
      </c>
      <c r="E63" s="43"/>
      <c r="F63" s="41" t="s">
        <v>275</v>
      </c>
      <c r="G63" s="41" t="s">
        <v>282</v>
      </c>
      <c r="H63" s="43"/>
      <c r="I63" s="41">
        <v>13873</v>
      </c>
      <c r="J63" s="41">
        <v>280</v>
      </c>
      <c r="K63" s="100"/>
      <c r="L63" s="51"/>
      <c r="M63" s="106">
        <v>280</v>
      </c>
      <c r="N63" s="103"/>
      <c r="O63" s="37">
        <v>45903</v>
      </c>
      <c r="P63" s="41"/>
      <c r="Q63" s="41"/>
      <c r="R63" s="41"/>
      <c r="S63" s="41"/>
      <c r="T63" s="107">
        <v>17000</v>
      </c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0"/>
    </row>
    <row r="64" spans="1:31" hidden="1" x14ac:dyDescent="0.25">
      <c r="A64" s="41">
        <f t="shared" si="0"/>
        <v>63</v>
      </c>
      <c r="B64" s="41" t="s">
        <v>163</v>
      </c>
      <c r="C64" s="41" t="s">
        <v>273</v>
      </c>
      <c r="D64" s="41" t="s">
        <v>283</v>
      </c>
      <c r="E64" s="43"/>
      <c r="F64" s="41" t="s">
        <v>275</v>
      </c>
      <c r="G64" s="41" t="s">
        <v>284</v>
      </c>
      <c r="H64" s="43"/>
      <c r="I64" s="41">
        <v>49031</v>
      </c>
      <c r="J64" s="41">
        <v>1050</v>
      </c>
      <c r="K64" s="100"/>
      <c r="L64" s="51"/>
      <c r="M64" s="106">
        <v>139</v>
      </c>
      <c r="N64" s="103"/>
      <c r="O64" s="37">
        <v>45903</v>
      </c>
      <c r="P64" s="41"/>
      <c r="Q64" s="41"/>
      <c r="R64" s="41">
        <v>139</v>
      </c>
      <c r="S64" s="41"/>
      <c r="T64" s="107">
        <v>12000</v>
      </c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0"/>
    </row>
    <row r="65" spans="1:31" x14ac:dyDescent="0.25">
      <c r="A65" s="41">
        <f t="shared" si="0"/>
        <v>64</v>
      </c>
      <c r="B65" s="41" t="s">
        <v>163</v>
      </c>
      <c r="C65" s="41" t="s">
        <v>273</v>
      </c>
      <c r="D65" s="41" t="s">
        <v>285</v>
      </c>
      <c r="E65" s="43"/>
      <c r="F65" s="41" t="s">
        <v>275</v>
      </c>
      <c r="G65" s="41" t="s">
        <v>280</v>
      </c>
      <c r="H65" s="43"/>
      <c r="I65" s="41">
        <v>6032</v>
      </c>
      <c r="J65" s="41">
        <v>138</v>
      </c>
      <c r="K65" s="100"/>
      <c r="L65" s="51"/>
      <c r="M65" s="109">
        <v>0</v>
      </c>
      <c r="N65" s="103"/>
      <c r="O65" s="37">
        <v>45903</v>
      </c>
      <c r="P65" s="41"/>
      <c r="Q65" s="41"/>
      <c r="R65" s="41"/>
      <c r="S65" s="41"/>
      <c r="T65" s="102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0"/>
    </row>
    <row r="66" spans="1:31" hidden="1" x14ac:dyDescent="0.25">
      <c r="A66" s="41">
        <f t="shared" si="0"/>
        <v>65</v>
      </c>
      <c r="B66" s="41" t="s">
        <v>163</v>
      </c>
      <c r="C66" s="41" t="s">
        <v>273</v>
      </c>
      <c r="D66" s="41" t="s">
        <v>887</v>
      </c>
      <c r="E66" s="43"/>
      <c r="F66" s="41" t="s">
        <v>275</v>
      </c>
      <c r="G66" s="41" t="s">
        <v>286</v>
      </c>
      <c r="H66" s="43"/>
      <c r="I66" s="41">
        <v>37755</v>
      </c>
      <c r="J66" s="41">
        <v>950</v>
      </c>
      <c r="K66" s="100"/>
      <c r="L66" s="51"/>
      <c r="M66" s="106">
        <v>116</v>
      </c>
      <c r="N66" s="103"/>
      <c r="O66" s="37">
        <v>45903</v>
      </c>
      <c r="P66" s="41"/>
      <c r="Q66" s="41"/>
      <c r="R66" s="41">
        <v>77</v>
      </c>
      <c r="S66" s="41">
        <v>39</v>
      </c>
      <c r="T66" s="107">
        <v>9000</v>
      </c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0"/>
    </row>
    <row r="67" spans="1:31" x14ac:dyDescent="0.25">
      <c r="A67" s="41">
        <f t="shared" si="0"/>
        <v>66</v>
      </c>
      <c r="B67" s="41" t="s">
        <v>163</v>
      </c>
      <c r="C67" s="41" t="s">
        <v>273</v>
      </c>
      <c r="D67" s="41" t="s">
        <v>287</v>
      </c>
      <c r="E67" s="43"/>
      <c r="F67" s="41" t="s">
        <v>208</v>
      </c>
      <c r="G67" s="41" t="s">
        <v>288</v>
      </c>
      <c r="H67" s="43"/>
      <c r="I67" s="41">
        <v>26000</v>
      </c>
      <c r="J67" s="41">
        <v>613</v>
      </c>
      <c r="K67" s="100"/>
      <c r="L67" s="51"/>
      <c r="M67" s="109">
        <v>0</v>
      </c>
      <c r="N67" s="103"/>
      <c r="O67" s="37">
        <v>45903</v>
      </c>
      <c r="P67" s="41"/>
      <c r="Q67" s="41"/>
      <c r="R67" s="41"/>
      <c r="S67" s="41"/>
      <c r="T67" s="107">
        <v>10500</v>
      </c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0"/>
    </row>
    <row r="68" spans="1:31" hidden="1" x14ac:dyDescent="0.25">
      <c r="A68" s="41">
        <f t="shared" ref="A68:A131" si="1">A67+1</f>
        <v>67</v>
      </c>
      <c r="B68" s="41" t="s">
        <v>163</v>
      </c>
      <c r="C68" s="41" t="s">
        <v>273</v>
      </c>
      <c r="D68" s="41" t="s">
        <v>289</v>
      </c>
      <c r="E68" s="43"/>
      <c r="F68" s="41" t="s">
        <v>198</v>
      </c>
      <c r="G68" s="41" t="s">
        <v>224</v>
      </c>
      <c r="H68" s="43"/>
      <c r="I68" s="41">
        <v>25404</v>
      </c>
      <c r="J68" s="41">
        <v>497</v>
      </c>
      <c r="K68" s="100">
        <v>1</v>
      </c>
      <c r="L68" s="51"/>
      <c r="M68" s="106">
        <v>59</v>
      </c>
      <c r="N68" s="103"/>
      <c r="O68" s="37">
        <v>45903</v>
      </c>
      <c r="P68" s="41"/>
      <c r="Q68" s="41"/>
      <c r="R68" s="41"/>
      <c r="S68" s="41">
        <v>59</v>
      </c>
      <c r="T68" s="107">
        <v>9000</v>
      </c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0"/>
    </row>
    <row r="69" spans="1:31" hidden="1" x14ac:dyDescent="0.25">
      <c r="A69" s="41">
        <f t="shared" si="1"/>
        <v>68</v>
      </c>
      <c r="B69" s="41" t="s">
        <v>163</v>
      </c>
      <c r="C69" s="41" t="s">
        <v>273</v>
      </c>
      <c r="D69" s="41" t="s">
        <v>290</v>
      </c>
      <c r="E69" s="43"/>
      <c r="F69" s="41" t="s">
        <v>167</v>
      </c>
      <c r="G69" s="41" t="s">
        <v>168</v>
      </c>
      <c r="H69" s="43"/>
      <c r="I69" s="41">
        <v>26816</v>
      </c>
      <c r="J69" s="41">
        <v>514</v>
      </c>
      <c r="K69" s="100"/>
      <c r="L69" s="51"/>
      <c r="M69" s="106">
        <v>57</v>
      </c>
      <c r="N69" s="103"/>
      <c r="O69" s="37">
        <v>45903</v>
      </c>
      <c r="P69" s="41"/>
      <c r="Q69" s="41"/>
      <c r="R69" s="41">
        <v>35</v>
      </c>
      <c r="S69" s="41">
        <v>22</v>
      </c>
      <c r="T69" s="107">
        <v>7500</v>
      </c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0"/>
    </row>
    <row r="70" spans="1:31" hidden="1" x14ac:dyDescent="0.25">
      <c r="A70" s="41">
        <f t="shared" si="1"/>
        <v>69</v>
      </c>
      <c r="B70" s="41" t="s">
        <v>163</v>
      </c>
      <c r="C70" s="41" t="s">
        <v>273</v>
      </c>
      <c r="D70" s="41" t="s">
        <v>291</v>
      </c>
      <c r="E70" s="43"/>
      <c r="F70" s="43" t="s">
        <v>181</v>
      </c>
      <c r="G70" s="41" t="s">
        <v>182</v>
      </c>
      <c r="H70" s="43"/>
      <c r="I70" s="41">
        <v>20246</v>
      </c>
      <c r="J70" s="41">
        <v>482</v>
      </c>
      <c r="K70" s="100"/>
      <c r="L70" s="51"/>
      <c r="M70" s="106">
        <v>84</v>
      </c>
      <c r="N70" s="103"/>
      <c r="O70" s="37">
        <v>45903</v>
      </c>
      <c r="P70" s="41"/>
      <c r="Q70" s="41"/>
      <c r="R70" s="41">
        <v>84</v>
      </c>
      <c r="S70" s="41"/>
      <c r="T70" s="102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0"/>
    </row>
    <row r="71" spans="1:31" hidden="1" x14ac:dyDescent="0.25">
      <c r="A71" s="41">
        <f t="shared" si="1"/>
        <v>70</v>
      </c>
      <c r="B71" s="41" t="s">
        <v>163</v>
      </c>
      <c r="C71" s="41" t="s">
        <v>273</v>
      </c>
      <c r="D71" s="41" t="s">
        <v>292</v>
      </c>
      <c r="E71" s="43"/>
      <c r="F71" s="41" t="s">
        <v>167</v>
      </c>
      <c r="G71" s="41" t="s">
        <v>293</v>
      </c>
      <c r="H71" s="43"/>
      <c r="I71" s="41">
        <v>39362</v>
      </c>
      <c r="J71" s="41">
        <v>872</v>
      </c>
      <c r="K71" s="100"/>
      <c r="L71" s="51"/>
      <c r="M71" s="106">
        <v>451</v>
      </c>
      <c r="N71" s="103"/>
      <c r="O71" s="37">
        <v>45903</v>
      </c>
      <c r="P71" s="41"/>
      <c r="Q71" s="41"/>
      <c r="R71" s="41">
        <v>371</v>
      </c>
      <c r="S71" s="41">
        <v>80</v>
      </c>
      <c r="T71" s="107">
        <v>10000</v>
      </c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0"/>
    </row>
    <row r="72" spans="1:31" hidden="1" x14ac:dyDescent="0.25">
      <c r="A72" s="41">
        <f t="shared" si="1"/>
        <v>71</v>
      </c>
      <c r="B72" s="41" t="s">
        <v>163</v>
      </c>
      <c r="C72" s="41" t="s">
        <v>273</v>
      </c>
      <c r="D72" s="41" t="s">
        <v>294</v>
      </c>
      <c r="E72" s="43"/>
      <c r="F72" s="41" t="s">
        <v>167</v>
      </c>
      <c r="G72" s="41" t="s">
        <v>195</v>
      </c>
      <c r="H72" s="43"/>
      <c r="I72" s="41">
        <v>39770</v>
      </c>
      <c r="J72" s="41">
        <v>996</v>
      </c>
      <c r="K72" s="100"/>
      <c r="L72" s="51"/>
      <c r="M72" s="109" t="s">
        <v>837</v>
      </c>
      <c r="N72" s="103"/>
      <c r="O72" s="37">
        <v>45903</v>
      </c>
      <c r="P72" s="41"/>
      <c r="Q72" s="41"/>
      <c r="R72" s="41"/>
      <c r="S72" s="41"/>
      <c r="T72" s="107">
        <v>8000</v>
      </c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123" t="s">
        <v>1057</v>
      </c>
    </row>
    <row r="73" spans="1:31" hidden="1" x14ac:dyDescent="0.25">
      <c r="A73" s="41">
        <f t="shared" si="1"/>
        <v>72</v>
      </c>
      <c r="B73" s="41" t="s">
        <v>163</v>
      </c>
      <c r="C73" s="41" t="s">
        <v>273</v>
      </c>
      <c r="D73" s="41" t="s">
        <v>295</v>
      </c>
      <c r="E73" s="43"/>
      <c r="F73" s="41" t="s">
        <v>275</v>
      </c>
      <c r="G73" s="41" t="s">
        <v>296</v>
      </c>
      <c r="H73" s="43"/>
      <c r="I73" s="41">
        <v>25522</v>
      </c>
      <c r="J73" s="41">
        <v>530</v>
      </c>
      <c r="K73" s="100"/>
      <c r="L73" s="51"/>
      <c r="M73" s="109" t="s">
        <v>837</v>
      </c>
      <c r="N73" s="103"/>
      <c r="O73" s="37">
        <v>45903</v>
      </c>
      <c r="P73" s="41"/>
      <c r="Q73" s="41"/>
      <c r="R73" s="41"/>
      <c r="S73" s="41"/>
      <c r="T73" s="107">
        <v>18000</v>
      </c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0"/>
    </row>
    <row r="74" spans="1:31" x14ac:dyDescent="0.25">
      <c r="A74" s="41">
        <f t="shared" si="1"/>
        <v>73</v>
      </c>
      <c r="B74" s="41" t="s">
        <v>163</v>
      </c>
      <c r="C74" s="41" t="s">
        <v>273</v>
      </c>
      <c r="D74" s="41" t="s">
        <v>297</v>
      </c>
      <c r="E74" s="43"/>
      <c r="F74" s="43" t="s">
        <v>181</v>
      </c>
      <c r="G74" s="41" t="s">
        <v>182</v>
      </c>
      <c r="H74" s="43"/>
      <c r="I74" s="41">
        <v>16059</v>
      </c>
      <c r="J74" s="41">
        <v>360</v>
      </c>
      <c r="K74" s="100"/>
      <c r="L74" s="51"/>
      <c r="M74" s="109">
        <v>0</v>
      </c>
      <c r="N74" s="103"/>
      <c r="O74" s="37">
        <v>45903</v>
      </c>
      <c r="P74" s="41"/>
      <c r="Q74" s="41"/>
      <c r="R74" s="41"/>
      <c r="S74" s="41"/>
      <c r="T74" s="102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0"/>
    </row>
    <row r="75" spans="1:31" hidden="1" x14ac:dyDescent="0.25">
      <c r="A75" s="41">
        <f t="shared" si="1"/>
        <v>74</v>
      </c>
      <c r="B75" s="41" t="s">
        <v>163</v>
      </c>
      <c r="C75" s="41" t="s">
        <v>273</v>
      </c>
      <c r="D75" s="41" t="s">
        <v>298</v>
      </c>
      <c r="E75" s="43"/>
      <c r="F75" s="41" t="s">
        <v>198</v>
      </c>
      <c r="G75" s="41" t="s">
        <v>224</v>
      </c>
      <c r="H75" s="43"/>
      <c r="I75" s="41">
        <v>42730</v>
      </c>
      <c r="J75" s="41">
        <v>896</v>
      </c>
      <c r="K75" s="100">
        <v>1</v>
      </c>
      <c r="L75" s="51"/>
      <c r="M75" s="106">
        <v>107</v>
      </c>
      <c r="N75" s="103"/>
      <c r="O75" s="37">
        <v>45903</v>
      </c>
      <c r="P75" s="41"/>
      <c r="Q75" s="41"/>
      <c r="R75" s="41"/>
      <c r="S75" s="41"/>
      <c r="T75" s="107">
        <v>9000</v>
      </c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0"/>
    </row>
    <row r="76" spans="1:31" x14ac:dyDescent="0.25">
      <c r="A76" s="41">
        <f t="shared" si="1"/>
        <v>75</v>
      </c>
      <c r="B76" s="41" t="s">
        <v>163</v>
      </c>
      <c r="C76" s="41" t="s">
        <v>273</v>
      </c>
      <c r="D76" s="41" t="s">
        <v>299</v>
      </c>
      <c r="E76" s="43"/>
      <c r="F76" s="43" t="s">
        <v>215</v>
      </c>
      <c r="G76" s="41" t="s">
        <v>300</v>
      </c>
      <c r="H76" s="43"/>
      <c r="I76" s="41">
        <v>63157.38</v>
      </c>
      <c r="J76" s="45">
        <v>1450</v>
      </c>
      <c r="K76" s="100"/>
      <c r="L76" s="51"/>
      <c r="M76" s="109">
        <v>0</v>
      </c>
      <c r="N76" s="103"/>
      <c r="O76" s="37">
        <v>45903</v>
      </c>
      <c r="P76" s="41"/>
      <c r="Q76" s="41"/>
      <c r="R76" s="41"/>
      <c r="S76" s="41"/>
      <c r="T76" s="102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0"/>
    </row>
    <row r="77" spans="1:31" hidden="1" x14ac:dyDescent="0.25">
      <c r="A77" s="41">
        <f t="shared" si="1"/>
        <v>76</v>
      </c>
      <c r="B77" s="41" t="s">
        <v>163</v>
      </c>
      <c r="C77" s="41" t="s">
        <v>273</v>
      </c>
      <c r="D77" s="41" t="s">
        <v>301</v>
      </c>
      <c r="E77" s="43"/>
      <c r="F77" s="41" t="s">
        <v>167</v>
      </c>
      <c r="G77" s="41" t="s">
        <v>195</v>
      </c>
      <c r="H77" s="43"/>
      <c r="I77" s="41">
        <v>44288</v>
      </c>
      <c r="J77" s="41">
        <v>1119</v>
      </c>
      <c r="K77" s="100"/>
      <c r="L77" s="51"/>
      <c r="M77" s="106">
        <v>157</v>
      </c>
      <c r="N77" s="103"/>
      <c r="O77" s="37">
        <v>45903</v>
      </c>
      <c r="P77" s="41"/>
      <c r="Q77" s="41"/>
      <c r="R77" s="41"/>
      <c r="S77" s="41"/>
      <c r="T77" s="107">
        <v>8500</v>
      </c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123" t="s">
        <v>1057</v>
      </c>
    </row>
    <row r="78" spans="1:31" hidden="1" x14ac:dyDescent="0.25">
      <c r="A78" s="41">
        <f t="shared" si="1"/>
        <v>77</v>
      </c>
      <c r="B78" s="41" t="s">
        <v>163</v>
      </c>
      <c r="C78" s="41" t="s">
        <v>273</v>
      </c>
      <c r="D78" s="41" t="s">
        <v>302</v>
      </c>
      <c r="E78" s="43"/>
      <c r="F78" s="41" t="s">
        <v>275</v>
      </c>
      <c r="G78" s="41" t="s">
        <v>284</v>
      </c>
      <c r="H78" s="43"/>
      <c r="I78" s="41">
        <v>59765</v>
      </c>
      <c r="J78" s="41">
        <v>1405</v>
      </c>
      <c r="K78" s="100"/>
      <c r="L78" s="51"/>
      <c r="M78" s="106">
        <v>180</v>
      </c>
      <c r="N78" s="103"/>
      <c r="O78" s="37">
        <v>45903</v>
      </c>
      <c r="P78" s="41"/>
      <c r="Q78" s="41"/>
      <c r="R78" s="41">
        <v>180</v>
      </c>
      <c r="S78" s="41"/>
      <c r="T78" s="107">
        <v>12000</v>
      </c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0"/>
    </row>
    <row r="79" spans="1:31" x14ac:dyDescent="0.25">
      <c r="A79" s="41">
        <f t="shared" si="1"/>
        <v>78</v>
      </c>
      <c r="B79" s="41" t="s">
        <v>163</v>
      </c>
      <c r="C79" s="41" t="s">
        <v>273</v>
      </c>
      <c r="D79" s="41" t="s">
        <v>303</v>
      </c>
      <c r="E79" s="43"/>
      <c r="F79" s="41" t="s">
        <v>181</v>
      </c>
      <c r="G79" s="41" t="s">
        <v>304</v>
      </c>
      <c r="H79" s="43"/>
      <c r="I79" s="41">
        <v>28795</v>
      </c>
      <c r="J79" s="41">
        <v>500</v>
      </c>
      <c r="K79" s="100"/>
      <c r="L79" s="51"/>
      <c r="M79" s="109">
        <v>0</v>
      </c>
      <c r="N79" s="103"/>
      <c r="O79" s="37">
        <v>45903</v>
      </c>
      <c r="P79" s="41"/>
      <c r="Q79" s="41"/>
      <c r="R79" s="41"/>
      <c r="S79" s="41"/>
      <c r="T79" s="102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0"/>
    </row>
    <row r="80" spans="1:31" hidden="1" x14ac:dyDescent="0.25">
      <c r="A80" s="41">
        <f t="shared" si="1"/>
        <v>79</v>
      </c>
      <c r="B80" s="41" t="s">
        <v>163</v>
      </c>
      <c r="C80" s="41" t="s">
        <v>273</v>
      </c>
      <c r="D80" s="41" t="s">
        <v>305</v>
      </c>
      <c r="E80" s="43"/>
      <c r="F80" s="41" t="s">
        <v>275</v>
      </c>
      <c r="G80" s="41" t="s">
        <v>306</v>
      </c>
      <c r="H80" s="43"/>
      <c r="I80" s="41">
        <v>19587</v>
      </c>
      <c r="J80" s="41">
        <v>557</v>
      </c>
      <c r="K80" s="100"/>
      <c r="L80" s="51"/>
      <c r="M80" s="106">
        <v>371</v>
      </c>
      <c r="N80" s="103"/>
      <c r="O80" s="37">
        <v>45903</v>
      </c>
      <c r="P80" s="41"/>
      <c r="Q80" s="41"/>
      <c r="R80" s="41">
        <v>355</v>
      </c>
      <c r="S80" s="41">
        <v>16</v>
      </c>
      <c r="T80" s="107">
        <v>10000</v>
      </c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0"/>
    </row>
    <row r="81" spans="1:31" hidden="1" x14ac:dyDescent="0.25">
      <c r="A81" s="41">
        <f t="shared" si="1"/>
        <v>80</v>
      </c>
      <c r="B81" s="41" t="s">
        <v>163</v>
      </c>
      <c r="C81" s="41" t="s">
        <v>273</v>
      </c>
      <c r="D81" s="41" t="s">
        <v>307</v>
      </c>
      <c r="E81" s="43"/>
      <c r="F81" s="41" t="s">
        <v>167</v>
      </c>
      <c r="G81" s="41" t="s">
        <v>195</v>
      </c>
      <c r="H81" s="43"/>
      <c r="I81" s="41">
        <v>21290</v>
      </c>
      <c r="J81" s="45">
        <v>493</v>
      </c>
      <c r="K81" s="100"/>
      <c r="L81" s="51"/>
      <c r="M81" s="106">
        <v>38</v>
      </c>
      <c r="N81" s="103"/>
      <c r="O81" s="37">
        <v>45903</v>
      </c>
      <c r="P81" s="41"/>
      <c r="Q81" s="41"/>
      <c r="R81" s="41"/>
      <c r="S81" s="41">
        <v>38</v>
      </c>
      <c r="T81" s="107">
        <v>8500</v>
      </c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123" t="s">
        <v>1057</v>
      </c>
    </row>
    <row r="82" spans="1:31" hidden="1" x14ac:dyDescent="0.25">
      <c r="A82" s="41">
        <f t="shared" si="1"/>
        <v>81</v>
      </c>
      <c r="B82" s="41" t="s">
        <v>163</v>
      </c>
      <c r="C82" s="41" t="s">
        <v>273</v>
      </c>
      <c r="D82" s="41" t="s">
        <v>308</v>
      </c>
      <c r="E82" s="43"/>
      <c r="F82" s="41" t="s">
        <v>198</v>
      </c>
      <c r="G82" s="41" t="s">
        <v>224</v>
      </c>
      <c r="H82" s="43"/>
      <c r="I82" s="41">
        <v>46695</v>
      </c>
      <c r="J82" s="45">
        <v>961</v>
      </c>
      <c r="K82" s="100">
        <v>0.9</v>
      </c>
      <c r="L82" s="51"/>
      <c r="M82" s="106">
        <v>150</v>
      </c>
      <c r="N82" s="103"/>
      <c r="O82" s="37">
        <v>45903</v>
      </c>
      <c r="P82" s="41"/>
      <c r="Q82" s="41"/>
      <c r="R82" s="41" t="s">
        <v>1065</v>
      </c>
      <c r="S82" s="41">
        <v>10</v>
      </c>
      <c r="T82" s="107">
        <v>9000</v>
      </c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0"/>
    </row>
    <row r="83" spans="1:31" hidden="1" x14ac:dyDescent="0.25">
      <c r="A83" s="41">
        <f t="shared" si="1"/>
        <v>82</v>
      </c>
      <c r="B83" s="41" t="s">
        <v>163</v>
      </c>
      <c r="C83" s="41" t="s">
        <v>273</v>
      </c>
      <c r="D83" s="41" t="s">
        <v>309</v>
      </c>
      <c r="E83" s="43"/>
      <c r="F83" s="41" t="s">
        <v>167</v>
      </c>
      <c r="G83" s="41" t="s">
        <v>293</v>
      </c>
      <c r="H83" s="43"/>
      <c r="I83" s="41">
        <v>41909</v>
      </c>
      <c r="J83" s="45">
        <v>930</v>
      </c>
      <c r="K83" s="100"/>
      <c r="L83" s="51"/>
      <c r="M83" s="106">
        <v>164</v>
      </c>
      <c r="N83" s="103"/>
      <c r="O83" s="37">
        <v>45903</v>
      </c>
      <c r="P83" s="41"/>
      <c r="Q83" s="41"/>
      <c r="R83" s="41">
        <v>129</v>
      </c>
      <c r="S83" s="41">
        <v>35</v>
      </c>
      <c r="T83" s="107">
        <v>10000</v>
      </c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0"/>
    </row>
    <row r="84" spans="1:31" hidden="1" x14ac:dyDescent="0.25">
      <c r="A84" s="41">
        <f t="shared" si="1"/>
        <v>83</v>
      </c>
      <c r="B84" s="41" t="s">
        <v>163</v>
      </c>
      <c r="C84" s="41" t="s">
        <v>273</v>
      </c>
      <c r="D84" s="41" t="s">
        <v>310</v>
      </c>
      <c r="E84" s="43"/>
      <c r="F84" s="41" t="s">
        <v>198</v>
      </c>
      <c r="G84" s="41" t="s">
        <v>311</v>
      </c>
      <c r="H84" s="43"/>
      <c r="I84" s="41">
        <v>41830</v>
      </c>
      <c r="J84" s="45">
        <v>896</v>
      </c>
      <c r="K84" s="100">
        <v>1</v>
      </c>
      <c r="L84" s="51"/>
      <c r="M84" s="106">
        <v>61</v>
      </c>
      <c r="N84" s="103"/>
      <c r="O84" s="37">
        <v>45903</v>
      </c>
      <c r="P84" s="41"/>
      <c r="Q84" s="41"/>
      <c r="R84" s="41"/>
      <c r="S84" s="41">
        <v>61</v>
      </c>
      <c r="T84" s="107">
        <v>9000</v>
      </c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0"/>
    </row>
    <row r="85" spans="1:31" hidden="1" x14ac:dyDescent="0.25">
      <c r="A85" s="41">
        <f t="shared" si="1"/>
        <v>84</v>
      </c>
      <c r="B85" s="41" t="s">
        <v>163</v>
      </c>
      <c r="C85" s="41" t="s">
        <v>273</v>
      </c>
      <c r="D85" s="41" t="s">
        <v>312</v>
      </c>
      <c r="E85" s="43"/>
      <c r="F85" s="41" t="s">
        <v>198</v>
      </c>
      <c r="G85" s="41" t="s">
        <v>311</v>
      </c>
      <c r="H85" s="43"/>
      <c r="I85" s="41">
        <v>41260</v>
      </c>
      <c r="J85" s="45">
        <v>899</v>
      </c>
      <c r="K85" s="100">
        <v>0.9</v>
      </c>
      <c r="L85" s="51"/>
      <c r="M85" s="106">
        <v>68</v>
      </c>
      <c r="N85" s="103"/>
      <c r="O85" s="37">
        <v>45903</v>
      </c>
      <c r="P85" s="41"/>
      <c r="Q85" s="41"/>
      <c r="R85" s="41">
        <v>25</v>
      </c>
      <c r="S85" s="41">
        <v>43</v>
      </c>
      <c r="T85" s="107">
        <v>8500</v>
      </c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0"/>
    </row>
    <row r="86" spans="1:31" hidden="1" x14ac:dyDescent="0.25">
      <c r="A86" s="41">
        <f t="shared" si="1"/>
        <v>85</v>
      </c>
      <c r="B86" s="41" t="s">
        <v>163</v>
      </c>
      <c r="C86" s="41" t="s">
        <v>273</v>
      </c>
      <c r="D86" s="41" t="s">
        <v>313</v>
      </c>
      <c r="E86" s="43"/>
      <c r="F86" s="41" t="s">
        <v>198</v>
      </c>
      <c r="G86" s="41" t="s">
        <v>314</v>
      </c>
      <c r="H86" s="43"/>
      <c r="I86" s="41">
        <v>36721</v>
      </c>
      <c r="J86" s="45">
        <v>800</v>
      </c>
      <c r="K86" s="100">
        <v>0.5</v>
      </c>
      <c r="L86" s="51"/>
      <c r="M86" s="106">
        <v>404</v>
      </c>
      <c r="N86" s="103"/>
      <c r="O86" s="37">
        <v>45903</v>
      </c>
      <c r="P86" s="41"/>
      <c r="Q86" s="41"/>
      <c r="R86" s="41">
        <v>350</v>
      </c>
      <c r="S86" s="41">
        <v>54</v>
      </c>
      <c r="T86" s="107">
        <v>8500</v>
      </c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0"/>
    </row>
    <row r="87" spans="1:31" x14ac:dyDescent="0.25">
      <c r="A87" s="41">
        <f t="shared" si="1"/>
        <v>86</v>
      </c>
      <c r="B87" s="41" t="s">
        <v>163</v>
      </c>
      <c r="C87" s="41" t="s">
        <v>273</v>
      </c>
      <c r="D87" s="41" t="s">
        <v>315</v>
      </c>
      <c r="E87" s="43"/>
      <c r="F87" s="41" t="s">
        <v>181</v>
      </c>
      <c r="G87" s="41" t="s">
        <v>304</v>
      </c>
      <c r="H87" s="43"/>
      <c r="I87" s="41">
        <v>15024.0875</v>
      </c>
      <c r="J87" s="45">
        <v>343.4</v>
      </c>
      <c r="K87" s="100"/>
      <c r="L87" s="51"/>
      <c r="M87" s="109">
        <v>0</v>
      </c>
      <c r="N87" s="103"/>
      <c r="O87" s="37">
        <v>45903</v>
      </c>
      <c r="P87" s="41"/>
      <c r="Q87" s="41"/>
      <c r="R87" s="41"/>
      <c r="S87" s="41"/>
      <c r="T87" s="102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0"/>
    </row>
    <row r="88" spans="1:31" hidden="1" x14ac:dyDescent="0.25">
      <c r="A88" s="41">
        <f t="shared" si="1"/>
        <v>87</v>
      </c>
      <c r="B88" s="41" t="s">
        <v>163</v>
      </c>
      <c r="C88" s="41" t="s">
        <v>273</v>
      </c>
      <c r="D88" s="41" t="s">
        <v>889</v>
      </c>
      <c r="E88" s="43"/>
      <c r="F88" s="43" t="s">
        <v>181</v>
      </c>
      <c r="G88" s="41" t="s">
        <v>316</v>
      </c>
      <c r="H88" s="43"/>
      <c r="I88" s="41">
        <v>39408</v>
      </c>
      <c r="J88" s="45">
        <v>957.05714285714282</v>
      </c>
      <c r="K88" s="100"/>
      <c r="L88" s="51"/>
      <c r="M88" s="106">
        <v>125</v>
      </c>
      <c r="N88" s="103"/>
      <c r="O88" s="37">
        <v>45903</v>
      </c>
      <c r="P88" s="41"/>
      <c r="Q88" s="41"/>
      <c r="R88" s="41">
        <v>100</v>
      </c>
      <c r="S88" s="41">
        <v>25</v>
      </c>
      <c r="T88" s="107">
        <v>9500</v>
      </c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0"/>
    </row>
    <row r="89" spans="1:31" x14ac:dyDescent="0.25">
      <c r="A89" s="41">
        <f t="shared" si="1"/>
        <v>88</v>
      </c>
      <c r="B89" s="41" t="s">
        <v>163</v>
      </c>
      <c r="C89" s="41" t="s">
        <v>273</v>
      </c>
      <c r="D89" s="41" t="s">
        <v>317</v>
      </c>
      <c r="E89" s="43"/>
      <c r="F89" s="41" t="s">
        <v>275</v>
      </c>
      <c r="G89" s="41" t="s">
        <v>318</v>
      </c>
      <c r="H89" s="43"/>
      <c r="I89" s="41">
        <v>7500</v>
      </c>
      <c r="J89" s="45">
        <v>83</v>
      </c>
      <c r="K89" s="100"/>
      <c r="L89" s="51"/>
      <c r="M89" s="109">
        <v>0</v>
      </c>
      <c r="N89" s="103"/>
      <c r="O89" s="37">
        <v>45903</v>
      </c>
      <c r="P89" s="41"/>
      <c r="Q89" s="41"/>
      <c r="R89" s="41"/>
      <c r="S89" s="41"/>
      <c r="T89" s="102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0"/>
    </row>
    <row r="90" spans="1:31" hidden="1" x14ac:dyDescent="0.25">
      <c r="A90" s="41">
        <f t="shared" si="1"/>
        <v>89</v>
      </c>
      <c r="B90" s="41" t="s">
        <v>163</v>
      </c>
      <c r="C90" s="41" t="s">
        <v>273</v>
      </c>
      <c r="D90" s="41" t="s">
        <v>319</v>
      </c>
      <c r="E90" s="43"/>
      <c r="F90" s="41" t="s">
        <v>208</v>
      </c>
      <c r="G90" s="41" t="s">
        <v>320</v>
      </c>
      <c r="H90" s="43"/>
      <c r="I90" s="41">
        <v>27886</v>
      </c>
      <c r="J90" s="45">
        <v>596.68571428571431</v>
      </c>
      <c r="K90" s="100"/>
      <c r="L90" s="51"/>
      <c r="M90" s="106">
        <v>170</v>
      </c>
      <c r="N90" s="103"/>
      <c r="O90" s="37">
        <v>45903</v>
      </c>
      <c r="P90" s="41"/>
      <c r="Q90" s="41"/>
      <c r="R90" s="41">
        <v>170</v>
      </c>
      <c r="S90" s="41"/>
      <c r="T90" s="107">
        <v>9000</v>
      </c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0"/>
    </row>
    <row r="91" spans="1:31" hidden="1" x14ac:dyDescent="0.25">
      <c r="A91" s="41">
        <f t="shared" si="1"/>
        <v>90</v>
      </c>
      <c r="B91" s="41" t="s">
        <v>163</v>
      </c>
      <c r="C91" s="41" t="s">
        <v>273</v>
      </c>
      <c r="D91" s="41" t="s">
        <v>321</v>
      </c>
      <c r="E91" s="43"/>
      <c r="F91" s="41" t="s">
        <v>167</v>
      </c>
      <c r="G91" s="41" t="s">
        <v>293</v>
      </c>
      <c r="H91" s="43"/>
      <c r="I91" s="41">
        <v>34897</v>
      </c>
      <c r="J91" s="45">
        <v>837</v>
      </c>
      <c r="K91" s="100"/>
      <c r="L91" s="51"/>
      <c r="M91" s="106">
        <v>266</v>
      </c>
      <c r="N91" s="103"/>
      <c r="O91" s="37">
        <v>45903</v>
      </c>
      <c r="P91" s="41"/>
      <c r="Q91" s="41"/>
      <c r="R91" s="41" t="s">
        <v>1064</v>
      </c>
      <c r="S91" s="41">
        <v>86</v>
      </c>
      <c r="T91" s="107">
        <v>14999</v>
      </c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0"/>
    </row>
    <row r="92" spans="1:31" hidden="1" x14ac:dyDescent="0.25">
      <c r="A92" s="41">
        <f t="shared" si="1"/>
        <v>91</v>
      </c>
      <c r="B92" s="41" t="s">
        <v>163</v>
      </c>
      <c r="C92" s="41" t="s">
        <v>273</v>
      </c>
      <c r="D92" s="41" t="s">
        <v>322</v>
      </c>
      <c r="E92" s="43"/>
      <c r="F92" s="41" t="s">
        <v>167</v>
      </c>
      <c r="G92" s="41" t="s">
        <v>293</v>
      </c>
      <c r="H92" s="43"/>
      <c r="I92" s="41">
        <v>35042</v>
      </c>
      <c r="J92" s="45">
        <v>750.9</v>
      </c>
      <c r="K92" s="100"/>
      <c r="L92" s="51"/>
      <c r="M92" s="106" t="s">
        <v>1066</v>
      </c>
      <c r="N92" s="103"/>
      <c r="O92" s="37">
        <v>45903</v>
      </c>
      <c r="P92" s="41"/>
      <c r="Q92" s="41"/>
      <c r="R92" s="41" t="s">
        <v>1067</v>
      </c>
      <c r="S92" s="41">
        <v>39</v>
      </c>
      <c r="T92" s="107">
        <v>9900</v>
      </c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0"/>
    </row>
    <row r="93" spans="1:31" x14ac:dyDescent="0.25">
      <c r="A93" s="41">
        <f t="shared" si="1"/>
        <v>92</v>
      </c>
      <c r="B93" s="41" t="s">
        <v>163</v>
      </c>
      <c r="C93" s="41" t="s">
        <v>273</v>
      </c>
      <c r="D93" s="41" t="s">
        <v>323</v>
      </c>
      <c r="E93" s="43"/>
      <c r="F93" s="41" t="s">
        <v>167</v>
      </c>
      <c r="G93" s="41" t="s">
        <v>293</v>
      </c>
      <c r="H93" s="43"/>
      <c r="I93" s="41">
        <v>198812</v>
      </c>
      <c r="J93" s="45">
        <v>3313.5333333333333</v>
      </c>
      <c r="K93" s="100"/>
      <c r="L93" s="51"/>
      <c r="M93" s="109">
        <v>0</v>
      </c>
      <c r="N93" s="103"/>
      <c r="O93" s="37">
        <v>45903</v>
      </c>
      <c r="P93" s="41"/>
      <c r="Q93" s="41"/>
      <c r="R93" s="41"/>
      <c r="S93" s="41"/>
      <c r="T93" s="102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0"/>
    </row>
    <row r="94" spans="1:31" hidden="1" x14ac:dyDescent="0.25">
      <c r="A94" s="41">
        <f t="shared" si="1"/>
        <v>93</v>
      </c>
      <c r="B94" s="41" t="s">
        <v>163</v>
      </c>
      <c r="C94" s="41" t="s">
        <v>273</v>
      </c>
      <c r="D94" s="41" t="s">
        <v>324</v>
      </c>
      <c r="E94" s="43"/>
      <c r="F94" s="41" t="s">
        <v>167</v>
      </c>
      <c r="G94" s="41" t="s">
        <v>240</v>
      </c>
      <c r="H94" s="43"/>
      <c r="I94" s="41">
        <v>41025</v>
      </c>
      <c r="J94" s="45">
        <v>880.7714285714286</v>
      </c>
      <c r="K94" s="100"/>
      <c r="L94" s="51"/>
      <c r="M94" s="106">
        <v>750</v>
      </c>
      <c r="N94" s="103"/>
      <c r="O94" s="37">
        <v>45903</v>
      </c>
      <c r="P94" s="41"/>
      <c r="Q94" s="41"/>
      <c r="R94" s="41">
        <v>680</v>
      </c>
      <c r="S94" s="41">
        <v>70</v>
      </c>
      <c r="T94" s="107">
        <v>11000</v>
      </c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0"/>
    </row>
    <row r="95" spans="1:31" hidden="1" x14ac:dyDescent="0.25">
      <c r="A95" s="41">
        <f t="shared" si="1"/>
        <v>94</v>
      </c>
      <c r="B95" s="41" t="s">
        <v>163</v>
      </c>
      <c r="C95" s="41" t="s">
        <v>273</v>
      </c>
      <c r="D95" s="41" t="s">
        <v>1070</v>
      </c>
      <c r="E95" s="43"/>
      <c r="F95" s="43" t="s">
        <v>181</v>
      </c>
      <c r="G95" s="41" t="s">
        <v>325</v>
      </c>
      <c r="H95" s="43"/>
      <c r="I95" s="41">
        <v>55143</v>
      </c>
      <c r="J95" s="45">
        <v>1310.3428571428572</v>
      </c>
      <c r="K95" s="100"/>
      <c r="L95" s="51"/>
      <c r="M95" s="106" t="s">
        <v>1071</v>
      </c>
      <c r="N95" s="103"/>
      <c r="O95" s="37">
        <v>45903</v>
      </c>
      <c r="P95" s="41"/>
      <c r="Q95" s="41"/>
      <c r="R95" s="41">
        <v>300</v>
      </c>
      <c r="S95" s="41">
        <v>4</v>
      </c>
      <c r="T95" s="107">
        <v>9500</v>
      </c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0"/>
    </row>
    <row r="96" spans="1:31" hidden="1" x14ac:dyDescent="0.25">
      <c r="A96" s="41">
        <f t="shared" si="1"/>
        <v>95</v>
      </c>
      <c r="B96" s="41" t="s">
        <v>163</v>
      </c>
      <c r="C96" s="41" t="s">
        <v>273</v>
      </c>
      <c r="D96" s="41" t="s">
        <v>326</v>
      </c>
      <c r="E96" s="43"/>
      <c r="F96" s="41" t="s">
        <v>167</v>
      </c>
      <c r="G96" s="41" t="s">
        <v>293</v>
      </c>
      <c r="H96" s="43"/>
      <c r="I96" s="41">
        <v>39057</v>
      </c>
      <c r="J96" s="45">
        <v>847</v>
      </c>
      <c r="K96" s="100"/>
      <c r="L96" s="51"/>
      <c r="M96" s="106" t="s">
        <v>1068</v>
      </c>
      <c r="N96" s="103"/>
      <c r="O96" s="37">
        <v>45903</v>
      </c>
      <c r="P96" s="41"/>
      <c r="Q96" s="41"/>
      <c r="R96" s="41" t="s">
        <v>1069</v>
      </c>
      <c r="S96" s="41">
        <v>4</v>
      </c>
      <c r="T96" s="107">
        <v>9900</v>
      </c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0"/>
    </row>
    <row r="97" spans="1:31" hidden="1" x14ac:dyDescent="0.25">
      <c r="A97" s="41">
        <f t="shared" si="1"/>
        <v>96</v>
      </c>
      <c r="B97" s="41" t="s">
        <v>163</v>
      </c>
      <c r="C97" s="41" t="s">
        <v>273</v>
      </c>
      <c r="D97" s="41" t="s">
        <v>327</v>
      </c>
      <c r="E97" s="43" t="s">
        <v>166</v>
      </c>
      <c r="F97" s="41" t="s">
        <v>167</v>
      </c>
      <c r="G97" s="41" t="s">
        <v>328</v>
      </c>
      <c r="H97" s="43"/>
      <c r="I97" s="41">
        <v>41800</v>
      </c>
      <c r="J97" s="45">
        <v>673</v>
      </c>
      <c r="K97" s="100"/>
      <c r="L97" s="51"/>
      <c r="M97" s="106">
        <v>580</v>
      </c>
      <c r="N97" s="103"/>
      <c r="O97" s="37">
        <v>45903</v>
      </c>
      <c r="P97" s="41"/>
      <c r="Q97" s="41"/>
      <c r="R97" s="41">
        <v>572</v>
      </c>
      <c r="S97" s="41">
        <v>8</v>
      </c>
      <c r="T97" s="107">
        <v>14999</v>
      </c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0"/>
    </row>
    <row r="98" spans="1:31" x14ac:dyDescent="0.25">
      <c r="A98" s="41">
        <f t="shared" si="1"/>
        <v>97</v>
      </c>
      <c r="B98" s="41" t="s">
        <v>163</v>
      </c>
      <c r="C98" s="41" t="s">
        <v>273</v>
      </c>
      <c r="D98" s="41" t="s">
        <v>329</v>
      </c>
      <c r="E98" s="43"/>
      <c r="F98" s="41" t="s">
        <v>208</v>
      </c>
      <c r="G98" s="41" t="s">
        <v>330</v>
      </c>
      <c r="H98" s="43"/>
      <c r="I98" s="41">
        <v>58238</v>
      </c>
      <c r="J98" s="45">
        <v>970.63333333333333</v>
      </c>
      <c r="K98" s="100"/>
      <c r="L98" s="51"/>
      <c r="M98" s="109">
        <v>0</v>
      </c>
      <c r="N98" s="103"/>
      <c r="O98" s="37">
        <v>45903</v>
      </c>
      <c r="P98" s="41"/>
      <c r="Q98" s="41"/>
      <c r="R98" s="41"/>
      <c r="S98" s="41"/>
      <c r="T98" s="102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0"/>
    </row>
    <row r="99" spans="1:31" hidden="1" x14ac:dyDescent="0.25">
      <c r="A99" s="41">
        <f t="shared" si="1"/>
        <v>98</v>
      </c>
      <c r="B99" s="41" t="s">
        <v>163</v>
      </c>
      <c r="C99" s="41" t="s">
        <v>273</v>
      </c>
      <c r="D99" s="41" t="s">
        <v>331</v>
      </c>
      <c r="E99" s="43"/>
      <c r="F99" s="41" t="s">
        <v>198</v>
      </c>
      <c r="G99" s="41" t="s">
        <v>224</v>
      </c>
      <c r="H99" s="43"/>
      <c r="I99" s="41">
        <v>35026</v>
      </c>
      <c r="J99" s="45">
        <v>780</v>
      </c>
      <c r="K99" s="100">
        <v>0.75</v>
      </c>
      <c r="L99" s="51"/>
      <c r="M99" s="106" t="s">
        <v>888</v>
      </c>
      <c r="N99" s="103"/>
      <c r="O99" s="37">
        <v>45903</v>
      </c>
      <c r="P99" s="41"/>
      <c r="Q99" s="41"/>
      <c r="R99" s="41"/>
      <c r="S99" s="41"/>
      <c r="T99" s="107">
        <v>10000</v>
      </c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0"/>
    </row>
    <row r="100" spans="1:31" hidden="1" x14ac:dyDescent="0.25">
      <c r="A100" s="41">
        <f t="shared" si="1"/>
        <v>99</v>
      </c>
      <c r="B100" s="41" t="s">
        <v>163</v>
      </c>
      <c r="C100" s="41" t="s">
        <v>332</v>
      </c>
      <c r="D100" s="42" t="s">
        <v>333</v>
      </c>
      <c r="E100" s="43" t="s">
        <v>166</v>
      </c>
      <c r="F100" s="43" t="s">
        <v>167</v>
      </c>
      <c r="G100" s="41" t="s">
        <v>167</v>
      </c>
      <c r="H100" s="41" t="s">
        <v>248</v>
      </c>
      <c r="I100" s="44">
        <v>690000</v>
      </c>
      <c r="J100" s="41">
        <v>7200</v>
      </c>
      <c r="K100" s="100">
        <v>1</v>
      </c>
      <c r="L100" s="51">
        <v>95</v>
      </c>
      <c r="M100" s="41"/>
      <c r="N100" s="103"/>
      <c r="O100" s="37"/>
      <c r="P100" s="41"/>
      <c r="Q100" s="41"/>
      <c r="R100" s="41"/>
      <c r="S100" s="41"/>
      <c r="T100" s="102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0"/>
    </row>
    <row r="101" spans="1:31" hidden="1" x14ac:dyDescent="0.25">
      <c r="A101" s="41">
        <f t="shared" si="1"/>
        <v>100</v>
      </c>
      <c r="B101" s="41" t="s">
        <v>163</v>
      </c>
      <c r="C101" s="41" t="s">
        <v>332</v>
      </c>
      <c r="D101" s="42" t="s">
        <v>334</v>
      </c>
      <c r="E101" s="43" t="s">
        <v>166</v>
      </c>
      <c r="F101" s="43" t="s">
        <v>167</v>
      </c>
      <c r="G101" s="41" t="s">
        <v>167</v>
      </c>
      <c r="H101" s="41" t="s">
        <v>248</v>
      </c>
      <c r="I101" s="44">
        <v>84000</v>
      </c>
      <c r="J101" s="41">
        <v>880</v>
      </c>
      <c r="K101" s="100">
        <v>1</v>
      </c>
      <c r="L101" s="51">
        <v>95</v>
      </c>
      <c r="M101" s="41"/>
      <c r="N101" s="103"/>
      <c r="O101" s="37"/>
      <c r="P101" s="41"/>
      <c r="Q101" s="41"/>
      <c r="R101" s="41"/>
      <c r="S101" s="41"/>
      <c r="T101" s="102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0"/>
    </row>
    <row r="102" spans="1:31" hidden="1" x14ac:dyDescent="0.25">
      <c r="A102" s="41">
        <f t="shared" si="1"/>
        <v>101</v>
      </c>
      <c r="B102" s="41" t="s">
        <v>163</v>
      </c>
      <c r="C102" s="41" t="s">
        <v>332</v>
      </c>
      <c r="D102" s="42" t="s">
        <v>335</v>
      </c>
      <c r="E102" s="43" t="s">
        <v>166</v>
      </c>
      <c r="F102" s="43"/>
      <c r="G102" s="41" t="s">
        <v>336</v>
      </c>
      <c r="H102" s="41" t="s">
        <v>248</v>
      </c>
      <c r="I102" s="44">
        <v>32000</v>
      </c>
      <c r="J102" s="41">
        <v>336</v>
      </c>
      <c r="K102" s="100">
        <v>1</v>
      </c>
      <c r="L102" s="51">
        <v>95</v>
      </c>
      <c r="M102" s="41"/>
      <c r="N102" s="103"/>
      <c r="O102" s="37"/>
      <c r="P102" s="41"/>
      <c r="Q102" s="41"/>
      <c r="R102" s="41"/>
      <c r="S102" s="41"/>
      <c r="T102" s="102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0"/>
    </row>
    <row r="103" spans="1:31" hidden="1" x14ac:dyDescent="0.25">
      <c r="A103" s="41">
        <f t="shared" si="1"/>
        <v>102</v>
      </c>
      <c r="B103" s="41" t="s">
        <v>163</v>
      </c>
      <c r="C103" s="41" t="s">
        <v>332</v>
      </c>
      <c r="D103" s="42" t="s">
        <v>337</v>
      </c>
      <c r="E103" s="43" t="s">
        <v>166</v>
      </c>
      <c r="F103" s="43" t="s">
        <v>167</v>
      </c>
      <c r="G103" s="41" t="s">
        <v>167</v>
      </c>
      <c r="H103" s="41" t="s">
        <v>248</v>
      </c>
      <c r="I103" s="44">
        <v>40000</v>
      </c>
      <c r="J103" s="41">
        <v>421</v>
      </c>
      <c r="K103" s="100">
        <v>1</v>
      </c>
      <c r="L103" s="51">
        <v>95</v>
      </c>
      <c r="M103" s="41"/>
      <c r="N103" s="103"/>
      <c r="O103" s="37"/>
      <c r="P103" s="41"/>
      <c r="Q103" s="41"/>
      <c r="R103" s="41"/>
      <c r="S103" s="41"/>
      <c r="T103" s="102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0"/>
    </row>
    <row r="104" spans="1:31" x14ac:dyDescent="0.25">
      <c r="A104" s="41">
        <f t="shared" si="1"/>
        <v>103</v>
      </c>
      <c r="B104" s="41" t="s">
        <v>163</v>
      </c>
      <c r="C104" s="41" t="s">
        <v>338</v>
      </c>
      <c r="D104" s="41" t="s">
        <v>339</v>
      </c>
      <c r="E104" s="43" t="s">
        <v>166</v>
      </c>
      <c r="F104" s="43" t="s">
        <v>198</v>
      </c>
      <c r="G104" s="41" t="s">
        <v>272</v>
      </c>
      <c r="H104" s="43" t="s">
        <v>169</v>
      </c>
      <c r="I104" s="41">
        <v>140000</v>
      </c>
      <c r="J104" s="41"/>
      <c r="K104" s="100">
        <v>0</v>
      </c>
      <c r="L104" s="51">
        <v>40</v>
      </c>
      <c r="M104" s="109">
        <v>0</v>
      </c>
      <c r="N104" s="103"/>
      <c r="O104" s="37">
        <v>45881</v>
      </c>
      <c r="P104" s="41"/>
      <c r="Q104" s="41"/>
      <c r="R104" s="41"/>
      <c r="S104" s="41"/>
      <c r="T104" s="102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0"/>
    </row>
    <row r="105" spans="1:31" hidden="1" x14ac:dyDescent="0.25">
      <c r="A105" s="41">
        <f t="shared" si="1"/>
        <v>104</v>
      </c>
      <c r="B105" s="41" t="s">
        <v>163</v>
      </c>
      <c r="C105" s="41" t="s">
        <v>338</v>
      </c>
      <c r="D105" s="41" t="s">
        <v>340</v>
      </c>
      <c r="E105" s="43" t="s">
        <v>171</v>
      </c>
      <c r="F105" s="43" t="s">
        <v>215</v>
      </c>
      <c r="G105" s="41" t="s">
        <v>347</v>
      </c>
      <c r="H105" s="43" t="s">
        <v>169</v>
      </c>
      <c r="I105" s="41">
        <v>30000</v>
      </c>
      <c r="J105" s="45"/>
      <c r="K105" s="100">
        <v>0</v>
      </c>
      <c r="L105" s="51">
        <v>40</v>
      </c>
      <c r="M105" s="106">
        <v>1096</v>
      </c>
      <c r="N105" s="103"/>
      <c r="O105" s="37">
        <v>45881</v>
      </c>
      <c r="P105" s="41"/>
      <c r="Q105" s="41"/>
      <c r="R105" s="41"/>
      <c r="S105" s="41"/>
      <c r="T105" s="102" t="s">
        <v>914</v>
      </c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0"/>
    </row>
    <row r="106" spans="1:31" ht="14.45" hidden="1" customHeight="1" x14ac:dyDescent="0.25">
      <c r="A106" s="41">
        <f t="shared" si="1"/>
        <v>105</v>
      </c>
      <c r="B106" s="41" t="s">
        <v>163</v>
      </c>
      <c r="C106" s="41" t="s">
        <v>338</v>
      </c>
      <c r="D106" s="41" t="s">
        <v>341</v>
      </c>
      <c r="E106" s="43" t="s">
        <v>171</v>
      </c>
      <c r="F106" s="43" t="s">
        <v>181</v>
      </c>
      <c r="G106" s="41" t="s">
        <v>342</v>
      </c>
      <c r="H106" s="43" t="s">
        <v>169</v>
      </c>
      <c r="I106" s="41">
        <v>150000</v>
      </c>
      <c r="J106" s="41"/>
      <c r="K106" s="100">
        <v>0.81</v>
      </c>
      <c r="L106" s="51">
        <v>40</v>
      </c>
      <c r="M106" s="106">
        <v>1036</v>
      </c>
      <c r="N106" s="103"/>
      <c r="O106" s="37">
        <v>45881</v>
      </c>
      <c r="P106" s="41"/>
      <c r="Q106" s="41"/>
      <c r="R106" s="41"/>
      <c r="S106" s="41"/>
      <c r="T106" s="102" t="s">
        <v>920</v>
      </c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120" t="s">
        <v>1059</v>
      </c>
    </row>
    <row r="107" spans="1:31" hidden="1" x14ac:dyDescent="0.25">
      <c r="A107" s="41">
        <f t="shared" si="1"/>
        <v>106</v>
      </c>
      <c r="B107" s="41" t="s">
        <v>163</v>
      </c>
      <c r="C107" s="41" t="s">
        <v>338</v>
      </c>
      <c r="D107" s="41" t="s">
        <v>343</v>
      </c>
      <c r="E107" s="43" t="s">
        <v>166</v>
      </c>
      <c r="F107" s="41" t="s">
        <v>172</v>
      </c>
      <c r="G107" s="41" t="s">
        <v>172</v>
      </c>
      <c r="H107" s="43" t="s">
        <v>169</v>
      </c>
      <c r="I107" s="41">
        <v>78000</v>
      </c>
      <c r="J107" s="41"/>
      <c r="K107" s="100">
        <v>0.6</v>
      </c>
      <c r="L107" s="51">
        <v>40</v>
      </c>
      <c r="M107" s="87">
        <v>1160</v>
      </c>
      <c r="N107" s="103"/>
      <c r="O107" s="88">
        <v>45881</v>
      </c>
      <c r="P107" s="41"/>
      <c r="Q107" s="41"/>
      <c r="R107" s="41"/>
      <c r="S107" s="41"/>
      <c r="T107" s="110">
        <v>7600</v>
      </c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0"/>
    </row>
    <row r="108" spans="1:31" hidden="1" x14ac:dyDescent="0.25">
      <c r="A108" s="41">
        <f t="shared" si="1"/>
        <v>107</v>
      </c>
      <c r="B108" s="41" t="s">
        <v>163</v>
      </c>
      <c r="C108" s="41" t="s">
        <v>338</v>
      </c>
      <c r="D108" s="41" t="s">
        <v>344</v>
      </c>
      <c r="E108" s="43" t="s">
        <v>166</v>
      </c>
      <c r="F108" s="41" t="s">
        <v>172</v>
      </c>
      <c r="G108" s="41" t="s">
        <v>172</v>
      </c>
      <c r="H108" s="43" t="s">
        <v>169</v>
      </c>
      <c r="I108" s="41">
        <v>87000</v>
      </c>
      <c r="J108" s="41"/>
      <c r="K108" s="100">
        <v>0.52</v>
      </c>
      <c r="L108" s="51">
        <v>40</v>
      </c>
      <c r="M108" s="94" t="s">
        <v>998</v>
      </c>
      <c r="N108" s="103"/>
      <c r="O108" s="88">
        <v>45881</v>
      </c>
      <c r="P108" s="41"/>
      <c r="Q108" s="41"/>
      <c r="R108" s="41"/>
      <c r="S108" s="41"/>
      <c r="T108" s="110">
        <v>7600</v>
      </c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0"/>
    </row>
    <row r="109" spans="1:31" hidden="1" x14ac:dyDescent="0.25">
      <c r="A109" s="41">
        <f t="shared" si="1"/>
        <v>108</v>
      </c>
      <c r="B109" s="41" t="s">
        <v>163</v>
      </c>
      <c r="C109" s="41" t="s">
        <v>338</v>
      </c>
      <c r="D109" s="41" t="s">
        <v>345</v>
      </c>
      <c r="E109" s="43" t="s">
        <v>166</v>
      </c>
      <c r="F109" s="43" t="s">
        <v>198</v>
      </c>
      <c r="G109" s="41" t="s">
        <v>272</v>
      </c>
      <c r="H109" s="43" t="s">
        <v>169</v>
      </c>
      <c r="I109" s="41">
        <v>80000</v>
      </c>
      <c r="J109" s="41">
        <v>2285.7142857142858</v>
      </c>
      <c r="K109" s="100">
        <v>0.8</v>
      </c>
      <c r="L109" s="51">
        <v>40</v>
      </c>
      <c r="M109" s="106">
        <v>455</v>
      </c>
      <c r="N109" s="103"/>
      <c r="O109" s="37">
        <v>45881</v>
      </c>
      <c r="P109" s="41"/>
      <c r="Q109" s="41"/>
      <c r="R109" s="41"/>
      <c r="S109" s="41"/>
      <c r="T109" s="102" t="s">
        <v>922</v>
      </c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0"/>
    </row>
    <row r="110" spans="1:31" hidden="1" x14ac:dyDescent="0.25">
      <c r="A110" s="41">
        <f t="shared" si="1"/>
        <v>109</v>
      </c>
      <c r="B110" s="41" t="s">
        <v>163</v>
      </c>
      <c r="C110" s="41" t="s">
        <v>338</v>
      </c>
      <c r="D110" s="41" t="s">
        <v>346</v>
      </c>
      <c r="E110" s="43" t="s">
        <v>171</v>
      </c>
      <c r="F110" s="43" t="s">
        <v>215</v>
      </c>
      <c r="G110" s="41" t="s">
        <v>347</v>
      </c>
      <c r="H110" s="43" t="s">
        <v>169</v>
      </c>
      <c r="I110" s="41">
        <v>14000</v>
      </c>
      <c r="J110" s="45"/>
      <c r="K110" s="100">
        <v>0.6</v>
      </c>
      <c r="L110" s="51">
        <v>40</v>
      </c>
      <c r="M110" s="106">
        <v>172</v>
      </c>
      <c r="N110" s="103"/>
      <c r="O110" s="37">
        <v>45881</v>
      </c>
      <c r="P110" s="41"/>
      <c r="Q110" s="41"/>
      <c r="R110" s="41"/>
      <c r="S110" s="41"/>
      <c r="T110" s="107">
        <v>12900</v>
      </c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0"/>
    </row>
    <row r="111" spans="1:31" hidden="1" x14ac:dyDescent="0.25">
      <c r="A111" s="41">
        <f t="shared" si="1"/>
        <v>110</v>
      </c>
      <c r="B111" s="41" t="s">
        <v>163</v>
      </c>
      <c r="C111" s="41" t="s">
        <v>338</v>
      </c>
      <c r="D111" s="41" t="s">
        <v>348</v>
      </c>
      <c r="E111" s="43" t="s">
        <v>171</v>
      </c>
      <c r="F111" s="41" t="s">
        <v>172</v>
      </c>
      <c r="G111" s="41" t="s">
        <v>172</v>
      </c>
      <c r="H111" s="43" t="s">
        <v>169</v>
      </c>
      <c r="I111" s="41">
        <v>19800</v>
      </c>
      <c r="J111" s="41"/>
      <c r="K111" s="100">
        <v>0.91</v>
      </c>
      <c r="L111" s="51">
        <v>40</v>
      </c>
      <c r="M111" s="106">
        <v>36</v>
      </c>
      <c r="N111" s="103"/>
      <c r="O111" s="37">
        <v>45881</v>
      </c>
      <c r="P111" s="41"/>
      <c r="Q111" s="41"/>
      <c r="R111" s="41"/>
      <c r="S111" s="41"/>
      <c r="T111" s="102" t="s">
        <v>917</v>
      </c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0"/>
    </row>
    <row r="112" spans="1:31" x14ac:dyDescent="0.25">
      <c r="A112" s="41">
        <f t="shared" si="1"/>
        <v>111</v>
      </c>
      <c r="B112" s="41" t="s">
        <v>163</v>
      </c>
      <c r="C112" s="41" t="s">
        <v>338</v>
      </c>
      <c r="D112" s="41" t="s">
        <v>349</v>
      </c>
      <c r="E112" s="43" t="s">
        <v>171</v>
      </c>
      <c r="F112" s="43" t="s">
        <v>215</v>
      </c>
      <c r="G112" s="41" t="s">
        <v>350</v>
      </c>
      <c r="H112" s="43" t="s">
        <v>169</v>
      </c>
      <c r="I112" s="41">
        <v>30000</v>
      </c>
      <c r="J112" s="45"/>
      <c r="K112" s="100">
        <v>0</v>
      </c>
      <c r="L112" s="51">
        <v>40</v>
      </c>
      <c r="M112" s="109">
        <v>0</v>
      </c>
      <c r="N112" s="103"/>
      <c r="O112" s="37">
        <v>45881</v>
      </c>
      <c r="P112" s="41"/>
      <c r="Q112" s="41"/>
      <c r="R112" s="41"/>
      <c r="S112" s="41"/>
      <c r="T112" s="102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0"/>
    </row>
    <row r="113" spans="1:31" ht="14.45" hidden="1" customHeight="1" x14ac:dyDescent="0.25">
      <c r="A113" s="41">
        <f t="shared" si="1"/>
        <v>112</v>
      </c>
      <c r="B113" s="41" t="s">
        <v>163</v>
      </c>
      <c r="C113" s="41" t="s">
        <v>338</v>
      </c>
      <c r="D113" s="41" t="s">
        <v>351</v>
      </c>
      <c r="E113" s="43" t="s">
        <v>171</v>
      </c>
      <c r="F113" s="43" t="s">
        <v>181</v>
      </c>
      <c r="G113" s="41" t="s">
        <v>184</v>
      </c>
      <c r="H113" s="43" t="s">
        <v>169</v>
      </c>
      <c r="I113" s="41">
        <v>25000</v>
      </c>
      <c r="J113" s="45"/>
      <c r="K113" s="100">
        <v>0</v>
      </c>
      <c r="L113" s="51">
        <v>40</v>
      </c>
      <c r="M113" s="106">
        <v>350</v>
      </c>
      <c r="N113" s="103"/>
      <c r="O113" s="37">
        <v>45881</v>
      </c>
      <c r="P113" s="41"/>
      <c r="Q113" s="41"/>
      <c r="R113" s="41"/>
      <c r="S113" s="41"/>
      <c r="T113" s="102" t="s">
        <v>919</v>
      </c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120" t="s">
        <v>1062</v>
      </c>
    </row>
    <row r="114" spans="1:31" hidden="1" x14ac:dyDescent="0.25">
      <c r="A114" s="41">
        <f t="shared" si="1"/>
        <v>113</v>
      </c>
      <c r="B114" s="41" t="s">
        <v>163</v>
      </c>
      <c r="C114" s="41" t="s">
        <v>338</v>
      </c>
      <c r="D114" s="41" t="s">
        <v>352</v>
      </c>
      <c r="E114" s="43" t="s">
        <v>171</v>
      </c>
      <c r="F114" s="41" t="s">
        <v>172</v>
      </c>
      <c r="G114" s="41" t="s">
        <v>172</v>
      </c>
      <c r="H114" s="43" t="s">
        <v>169</v>
      </c>
      <c r="I114" s="41">
        <v>12000</v>
      </c>
      <c r="J114" s="41"/>
      <c r="K114" s="100">
        <v>0.3</v>
      </c>
      <c r="L114" s="51">
        <v>40</v>
      </c>
      <c r="M114" s="106">
        <v>14</v>
      </c>
      <c r="N114" s="103"/>
      <c r="O114" s="37">
        <v>45881</v>
      </c>
      <c r="P114" s="41"/>
      <c r="Q114" s="41"/>
      <c r="R114" s="41"/>
      <c r="S114" s="41"/>
      <c r="T114" s="102" t="s">
        <v>918</v>
      </c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0"/>
    </row>
    <row r="115" spans="1:31" hidden="1" x14ac:dyDescent="0.25">
      <c r="A115" s="41">
        <f t="shared" si="1"/>
        <v>114</v>
      </c>
      <c r="B115" s="41" t="s">
        <v>163</v>
      </c>
      <c r="C115" s="41" t="s">
        <v>338</v>
      </c>
      <c r="D115" s="41" t="s">
        <v>353</v>
      </c>
      <c r="E115" s="43" t="s">
        <v>166</v>
      </c>
      <c r="F115" s="43" t="s">
        <v>198</v>
      </c>
      <c r="G115" s="41" t="s">
        <v>354</v>
      </c>
      <c r="H115" s="43" t="s">
        <v>169</v>
      </c>
      <c r="I115" s="41">
        <v>23000</v>
      </c>
      <c r="J115" s="41">
        <v>460</v>
      </c>
      <c r="K115" s="100">
        <v>0.5</v>
      </c>
      <c r="L115" s="51">
        <v>40</v>
      </c>
      <c r="M115" s="87">
        <v>608</v>
      </c>
      <c r="N115" s="103"/>
      <c r="O115" s="88">
        <v>45881</v>
      </c>
      <c r="P115" s="41"/>
      <c r="Q115" s="41"/>
      <c r="R115" s="41"/>
      <c r="S115" s="41"/>
      <c r="T115" s="93" t="s">
        <v>923</v>
      </c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0"/>
    </row>
    <row r="116" spans="1:31" hidden="1" x14ac:dyDescent="0.25">
      <c r="A116" s="41">
        <f t="shared" si="1"/>
        <v>115</v>
      </c>
      <c r="B116" s="41" t="s">
        <v>163</v>
      </c>
      <c r="C116" s="41" t="s">
        <v>338</v>
      </c>
      <c r="D116" s="41" t="s">
        <v>355</v>
      </c>
      <c r="E116" s="43" t="s">
        <v>166</v>
      </c>
      <c r="F116" s="43" t="s">
        <v>198</v>
      </c>
      <c r="G116" s="41" t="s">
        <v>354</v>
      </c>
      <c r="H116" s="43" t="s">
        <v>169</v>
      </c>
      <c r="I116" s="41">
        <v>41000</v>
      </c>
      <c r="J116" s="41">
        <v>820</v>
      </c>
      <c r="K116" s="100">
        <v>0.6</v>
      </c>
      <c r="L116" s="51">
        <v>40</v>
      </c>
      <c r="M116" s="94" t="s">
        <v>998</v>
      </c>
      <c r="N116" s="103"/>
      <c r="O116" s="88">
        <v>45881</v>
      </c>
      <c r="P116" s="41"/>
      <c r="Q116" s="41"/>
      <c r="R116" s="41"/>
      <c r="S116" s="41"/>
      <c r="T116" s="93" t="s">
        <v>923</v>
      </c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0"/>
    </row>
    <row r="117" spans="1:31" hidden="1" x14ac:dyDescent="0.25">
      <c r="A117" s="41">
        <f t="shared" si="1"/>
        <v>116</v>
      </c>
      <c r="B117" s="41" t="s">
        <v>163</v>
      </c>
      <c r="C117" s="41" t="s">
        <v>338</v>
      </c>
      <c r="D117" s="41" t="s">
        <v>915</v>
      </c>
      <c r="E117" s="43" t="s">
        <v>171</v>
      </c>
      <c r="F117" s="43" t="s">
        <v>215</v>
      </c>
      <c r="G117" s="41" t="s">
        <v>347</v>
      </c>
      <c r="H117" s="43" t="s">
        <v>169</v>
      </c>
      <c r="I117" s="41">
        <v>38000</v>
      </c>
      <c r="J117" s="45"/>
      <c r="K117" s="100">
        <v>0.89</v>
      </c>
      <c r="L117" s="51">
        <v>40</v>
      </c>
      <c r="M117" s="106">
        <v>66</v>
      </c>
      <c r="N117" s="103"/>
      <c r="O117" s="37">
        <v>45881</v>
      </c>
      <c r="P117" s="41"/>
      <c r="Q117" s="41"/>
      <c r="R117" s="41"/>
      <c r="S117" s="41"/>
      <c r="T117" s="102" t="s">
        <v>916</v>
      </c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0"/>
    </row>
    <row r="118" spans="1:31" hidden="1" x14ac:dyDescent="0.25">
      <c r="A118" s="41">
        <f t="shared" si="1"/>
        <v>117</v>
      </c>
      <c r="B118" s="41" t="s">
        <v>163</v>
      </c>
      <c r="C118" s="41" t="s">
        <v>338</v>
      </c>
      <c r="D118" s="41" t="s">
        <v>356</v>
      </c>
      <c r="E118" s="43" t="s">
        <v>171</v>
      </c>
      <c r="F118" s="43" t="s">
        <v>176</v>
      </c>
      <c r="G118" s="41" t="s">
        <v>357</v>
      </c>
      <c r="H118" s="43" t="s">
        <v>169</v>
      </c>
      <c r="I118" s="41">
        <v>111000</v>
      </c>
      <c r="J118" s="41"/>
      <c r="K118" s="100">
        <v>0.78</v>
      </c>
      <c r="L118" s="51">
        <v>40</v>
      </c>
      <c r="M118" s="106">
        <v>1016</v>
      </c>
      <c r="N118" s="103"/>
      <c r="O118" s="37">
        <v>45881</v>
      </c>
      <c r="P118" s="41"/>
      <c r="Q118" s="41"/>
      <c r="R118" s="41"/>
      <c r="S118" s="41"/>
      <c r="T118" s="102" t="s">
        <v>910</v>
      </c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0"/>
    </row>
    <row r="119" spans="1:31" hidden="1" x14ac:dyDescent="0.25">
      <c r="A119" s="41">
        <f t="shared" si="1"/>
        <v>118</v>
      </c>
      <c r="B119" s="41" t="s">
        <v>163</v>
      </c>
      <c r="C119" s="41" t="s">
        <v>338</v>
      </c>
      <c r="D119" s="41" t="s">
        <v>358</v>
      </c>
      <c r="E119" s="43" t="s">
        <v>171</v>
      </c>
      <c r="F119" s="43" t="s">
        <v>176</v>
      </c>
      <c r="G119" s="41" t="s">
        <v>276</v>
      </c>
      <c r="H119" s="43" t="s">
        <v>169</v>
      </c>
      <c r="I119" s="41">
        <v>30000</v>
      </c>
      <c r="J119" s="41"/>
      <c r="K119" s="100">
        <v>0.65</v>
      </c>
      <c r="L119" s="51">
        <v>40</v>
      </c>
      <c r="M119" s="106">
        <v>201</v>
      </c>
      <c r="N119" s="103"/>
      <c r="O119" s="37">
        <v>45881</v>
      </c>
      <c r="P119" s="41"/>
      <c r="Q119" s="41"/>
      <c r="R119" s="41"/>
      <c r="S119" s="41"/>
      <c r="T119" s="102" t="s">
        <v>911</v>
      </c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0"/>
    </row>
    <row r="120" spans="1:31" hidden="1" x14ac:dyDescent="0.25">
      <c r="A120" s="41">
        <f t="shared" si="1"/>
        <v>119</v>
      </c>
      <c r="B120" s="41" t="s">
        <v>163</v>
      </c>
      <c r="C120" s="41" t="s">
        <v>338</v>
      </c>
      <c r="D120" s="41" t="s">
        <v>359</v>
      </c>
      <c r="E120" s="43" t="s">
        <v>166</v>
      </c>
      <c r="F120" s="43" t="s">
        <v>215</v>
      </c>
      <c r="G120" s="41" t="s">
        <v>347</v>
      </c>
      <c r="H120" s="43" t="s">
        <v>169</v>
      </c>
      <c r="I120" s="41">
        <v>70000</v>
      </c>
      <c r="J120" s="45"/>
      <c r="K120" s="100">
        <v>0.59</v>
      </c>
      <c r="L120" s="51">
        <v>40</v>
      </c>
      <c r="M120" s="106">
        <v>872</v>
      </c>
      <c r="N120" s="103"/>
      <c r="O120" s="37">
        <v>45881</v>
      </c>
      <c r="P120" s="41"/>
      <c r="Q120" s="41"/>
      <c r="R120" s="41"/>
      <c r="S120" s="41"/>
      <c r="T120" s="102" t="s">
        <v>913</v>
      </c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0"/>
    </row>
    <row r="121" spans="1:31" hidden="1" x14ac:dyDescent="0.25">
      <c r="A121" s="41">
        <f t="shared" si="1"/>
        <v>120</v>
      </c>
      <c r="B121" s="41" t="s">
        <v>163</v>
      </c>
      <c r="C121" s="41" t="s">
        <v>338</v>
      </c>
      <c r="D121" s="41" t="s">
        <v>360</v>
      </c>
      <c r="E121" s="43" t="s">
        <v>171</v>
      </c>
      <c r="F121" s="43" t="s">
        <v>181</v>
      </c>
      <c r="G121" s="41" t="s">
        <v>361</v>
      </c>
      <c r="H121" s="43" t="s">
        <v>169</v>
      </c>
      <c r="I121" s="41">
        <v>15000</v>
      </c>
      <c r="J121" s="41"/>
      <c r="K121" s="100">
        <v>0</v>
      </c>
      <c r="L121" s="51">
        <v>40</v>
      </c>
      <c r="M121" s="106">
        <v>619</v>
      </c>
      <c r="N121" s="103"/>
      <c r="O121" s="37">
        <v>45881</v>
      </c>
      <c r="P121" s="41"/>
      <c r="Q121" s="41"/>
      <c r="R121" s="41"/>
      <c r="S121" s="41"/>
      <c r="T121" s="102" t="s">
        <v>921</v>
      </c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0"/>
    </row>
    <row r="122" spans="1:31" hidden="1" x14ac:dyDescent="0.25">
      <c r="A122" s="41">
        <f t="shared" si="1"/>
        <v>121</v>
      </c>
      <c r="B122" s="41" t="s">
        <v>163</v>
      </c>
      <c r="C122" s="41" t="s">
        <v>338</v>
      </c>
      <c r="D122" s="41" t="s">
        <v>362</v>
      </c>
      <c r="E122" s="43" t="s">
        <v>171</v>
      </c>
      <c r="F122" s="41" t="s">
        <v>172</v>
      </c>
      <c r="G122" s="41" t="s">
        <v>172</v>
      </c>
      <c r="H122" s="43" t="s">
        <v>169</v>
      </c>
      <c r="I122" s="41">
        <v>11000</v>
      </c>
      <c r="J122" s="41"/>
      <c r="K122" s="100">
        <v>0.8</v>
      </c>
      <c r="L122" s="51">
        <v>40</v>
      </c>
      <c r="M122" s="106">
        <v>81</v>
      </c>
      <c r="N122" s="103"/>
      <c r="O122" s="37">
        <v>45881</v>
      </c>
      <c r="P122" s="41"/>
      <c r="Q122" s="41"/>
      <c r="R122" s="41"/>
      <c r="S122" s="41">
        <v>81</v>
      </c>
      <c r="T122" s="107">
        <v>6600</v>
      </c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0"/>
    </row>
    <row r="123" spans="1:31" hidden="1" x14ac:dyDescent="0.25">
      <c r="A123" s="41">
        <f t="shared" si="1"/>
        <v>122</v>
      </c>
      <c r="B123" s="41" t="s">
        <v>163</v>
      </c>
      <c r="C123" s="41" t="s">
        <v>338</v>
      </c>
      <c r="D123" s="41" t="s">
        <v>363</v>
      </c>
      <c r="E123" s="43" t="s">
        <v>171</v>
      </c>
      <c r="F123" s="43" t="s">
        <v>176</v>
      </c>
      <c r="G123" s="41" t="s">
        <v>276</v>
      </c>
      <c r="H123" s="43" t="s">
        <v>169</v>
      </c>
      <c r="I123" s="41">
        <v>15000</v>
      </c>
      <c r="J123" s="41"/>
      <c r="K123" s="100">
        <v>0.65</v>
      </c>
      <c r="L123" s="51">
        <v>40</v>
      </c>
      <c r="M123" s="106">
        <v>168</v>
      </c>
      <c r="N123" s="103"/>
      <c r="O123" s="37">
        <v>45881</v>
      </c>
      <c r="P123" s="41"/>
      <c r="Q123" s="41"/>
      <c r="R123" s="41"/>
      <c r="S123" s="41"/>
      <c r="T123" s="107">
        <v>9300</v>
      </c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0"/>
    </row>
    <row r="124" spans="1:31" hidden="1" x14ac:dyDescent="0.25">
      <c r="A124" s="41">
        <f t="shared" si="1"/>
        <v>123</v>
      </c>
      <c r="B124" s="41" t="s">
        <v>163</v>
      </c>
      <c r="C124" s="41" t="s">
        <v>338</v>
      </c>
      <c r="D124" s="41" t="s">
        <v>364</v>
      </c>
      <c r="E124" s="43" t="s">
        <v>171</v>
      </c>
      <c r="F124" s="41" t="s">
        <v>172</v>
      </c>
      <c r="G124" s="41" t="s">
        <v>172</v>
      </c>
      <c r="H124" s="43" t="s">
        <v>169</v>
      </c>
      <c r="I124" s="41">
        <v>10000</v>
      </c>
      <c r="J124" s="41"/>
      <c r="K124" s="100">
        <v>0.8</v>
      </c>
      <c r="L124" s="51">
        <v>40</v>
      </c>
      <c r="M124" s="106">
        <v>132</v>
      </c>
      <c r="N124" s="41"/>
      <c r="O124" s="37">
        <v>45881</v>
      </c>
      <c r="P124" s="41"/>
      <c r="Q124" s="41"/>
      <c r="R124" s="41"/>
      <c r="S124" s="41">
        <v>132</v>
      </c>
      <c r="T124" s="107">
        <v>6600</v>
      </c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0"/>
    </row>
    <row r="125" spans="1:31" hidden="1" x14ac:dyDescent="0.25">
      <c r="A125" s="41">
        <f t="shared" si="1"/>
        <v>124</v>
      </c>
      <c r="B125" s="41" t="s">
        <v>163</v>
      </c>
      <c r="C125" s="41" t="s">
        <v>338</v>
      </c>
      <c r="D125" s="41" t="s">
        <v>365</v>
      </c>
      <c r="E125" s="43" t="s">
        <v>171</v>
      </c>
      <c r="F125" s="43" t="s">
        <v>215</v>
      </c>
      <c r="G125" s="41" t="s">
        <v>347</v>
      </c>
      <c r="H125" s="43" t="s">
        <v>169</v>
      </c>
      <c r="I125" s="41">
        <v>15000</v>
      </c>
      <c r="J125" s="45"/>
      <c r="K125" s="100">
        <v>0.8</v>
      </c>
      <c r="L125" s="51">
        <v>40</v>
      </c>
      <c r="M125" s="106">
        <v>275</v>
      </c>
      <c r="N125" s="103"/>
      <c r="O125" s="37">
        <v>45881</v>
      </c>
      <c r="P125" s="41"/>
      <c r="Q125" s="41"/>
      <c r="R125" s="41"/>
      <c r="S125" s="41"/>
      <c r="T125" s="107">
        <v>9300</v>
      </c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0"/>
    </row>
    <row r="126" spans="1:31" hidden="1" x14ac:dyDescent="0.25">
      <c r="A126" s="41">
        <f t="shared" si="1"/>
        <v>125</v>
      </c>
      <c r="B126" s="41" t="s">
        <v>163</v>
      </c>
      <c r="C126" s="41" t="s">
        <v>338</v>
      </c>
      <c r="D126" s="41" t="s">
        <v>366</v>
      </c>
      <c r="E126" s="43" t="s">
        <v>171</v>
      </c>
      <c r="F126" s="41" t="s">
        <v>172</v>
      </c>
      <c r="G126" s="41" t="s">
        <v>172</v>
      </c>
      <c r="H126" s="43" t="s">
        <v>169</v>
      </c>
      <c r="I126" s="41">
        <v>5000</v>
      </c>
      <c r="J126" s="41"/>
      <c r="K126" s="100">
        <v>0.43</v>
      </c>
      <c r="L126" s="51">
        <v>40</v>
      </c>
      <c r="M126" s="106">
        <v>311</v>
      </c>
      <c r="N126" s="103"/>
      <c r="O126" s="37">
        <v>45881</v>
      </c>
      <c r="P126" s="41"/>
      <c r="Q126" s="41"/>
      <c r="R126" s="41"/>
      <c r="S126" s="41"/>
      <c r="T126" s="107">
        <v>8700</v>
      </c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0"/>
    </row>
    <row r="127" spans="1:31" hidden="1" x14ac:dyDescent="0.25">
      <c r="A127" s="41">
        <f t="shared" si="1"/>
        <v>126</v>
      </c>
      <c r="B127" s="41" t="s">
        <v>163</v>
      </c>
      <c r="C127" s="41" t="s">
        <v>338</v>
      </c>
      <c r="D127" s="41" t="s">
        <v>367</v>
      </c>
      <c r="E127" s="43" t="s">
        <v>227</v>
      </c>
      <c r="F127" s="43" t="s">
        <v>181</v>
      </c>
      <c r="G127" s="41" t="s">
        <v>184</v>
      </c>
      <c r="H127" s="43" t="s">
        <v>169</v>
      </c>
      <c r="I127" s="41">
        <v>11080</v>
      </c>
      <c r="J127" s="45"/>
      <c r="K127" s="100">
        <v>0.55000000000000004</v>
      </c>
      <c r="L127" s="51">
        <v>40</v>
      </c>
      <c r="M127" s="106">
        <v>108</v>
      </c>
      <c r="N127" s="103"/>
      <c r="O127" s="37">
        <v>45881</v>
      </c>
      <c r="P127" s="41"/>
      <c r="Q127" s="41"/>
      <c r="R127" s="41"/>
      <c r="S127" s="41">
        <v>108</v>
      </c>
      <c r="T127" s="107">
        <v>8400</v>
      </c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0"/>
    </row>
    <row r="128" spans="1:31" hidden="1" x14ac:dyDescent="0.25">
      <c r="A128" s="41">
        <f t="shared" si="1"/>
        <v>127</v>
      </c>
      <c r="B128" s="41" t="s">
        <v>163</v>
      </c>
      <c r="C128" s="41" t="s">
        <v>338</v>
      </c>
      <c r="D128" s="41" t="s">
        <v>368</v>
      </c>
      <c r="E128" s="43" t="s">
        <v>171</v>
      </c>
      <c r="F128" s="43" t="s">
        <v>176</v>
      </c>
      <c r="G128" s="41" t="s">
        <v>276</v>
      </c>
      <c r="H128" s="43" t="s">
        <v>169</v>
      </c>
      <c r="I128" s="41">
        <v>29000</v>
      </c>
      <c r="J128" s="41"/>
      <c r="K128" s="100">
        <v>0.65</v>
      </c>
      <c r="L128" s="51">
        <v>40</v>
      </c>
      <c r="M128" s="106">
        <v>241</v>
      </c>
      <c r="N128" s="103"/>
      <c r="O128" s="37">
        <v>45881</v>
      </c>
      <c r="P128" s="41"/>
      <c r="Q128" s="41"/>
      <c r="R128" s="41"/>
      <c r="S128" s="41"/>
      <c r="T128" s="102" t="s">
        <v>912</v>
      </c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0"/>
    </row>
    <row r="129" spans="1:31" hidden="1" x14ac:dyDescent="0.25">
      <c r="A129" s="41">
        <f t="shared" si="1"/>
        <v>128</v>
      </c>
      <c r="B129" s="41" t="s">
        <v>163</v>
      </c>
      <c r="C129" s="41" t="s">
        <v>338</v>
      </c>
      <c r="D129" s="41" t="s">
        <v>369</v>
      </c>
      <c r="E129" s="43" t="s">
        <v>227</v>
      </c>
      <c r="F129" s="41" t="s">
        <v>172</v>
      </c>
      <c r="G129" s="41" t="s">
        <v>172</v>
      </c>
      <c r="H129" s="43" t="s">
        <v>169</v>
      </c>
      <c r="I129" s="41">
        <v>16000</v>
      </c>
      <c r="J129" s="41"/>
      <c r="K129" s="100">
        <v>0</v>
      </c>
      <c r="L129" s="51">
        <v>40</v>
      </c>
      <c r="M129" s="87">
        <v>246</v>
      </c>
      <c r="N129" s="103"/>
      <c r="O129" s="88">
        <v>45881</v>
      </c>
      <c r="P129" s="41"/>
      <c r="Q129" s="41"/>
      <c r="R129" s="41"/>
      <c r="S129" s="41"/>
      <c r="T129" s="110">
        <v>6900</v>
      </c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123" t="s">
        <v>1058</v>
      </c>
    </row>
    <row r="130" spans="1:31" hidden="1" x14ac:dyDescent="0.25">
      <c r="A130" s="41">
        <f t="shared" si="1"/>
        <v>129</v>
      </c>
      <c r="B130" s="41" t="s">
        <v>163</v>
      </c>
      <c r="C130" s="41" t="s">
        <v>338</v>
      </c>
      <c r="D130" s="41" t="s">
        <v>370</v>
      </c>
      <c r="E130" s="43" t="s">
        <v>227</v>
      </c>
      <c r="F130" s="41" t="s">
        <v>172</v>
      </c>
      <c r="G130" s="41" t="s">
        <v>172</v>
      </c>
      <c r="H130" s="43" t="s">
        <v>169</v>
      </c>
      <c r="I130" s="41">
        <v>16000</v>
      </c>
      <c r="J130" s="41"/>
      <c r="K130" s="100">
        <v>0.5</v>
      </c>
      <c r="L130" s="51">
        <v>40</v>
      </c>
      <c r="M130" s="94" t="s">
        <v>998</v>
      </c>
      <c r="N130" s="103"/>
      <c r="O130" s="88">
        <v>45881</v>
      </c>
      <c r="P130" s="41"/>
      <c r="Q130" s="41"/>
      <c r="R130" s="41"/>
      <c r="S130" s="41"/>
      <c r="T130" s="110">
        <v>6900</v>
      </c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123" t="s">
        <v>1058</v>
      </c>
    </row>
    <row r="131" spans="1:31" hidden="1" x14ac:dyDescent="0.25">
      <c r="A131" s="41">
        <f t="shared" si="1"/>
        <v>130</v>
      </c>
      <c r="B131" s="41" t="s">
        <v>163</v>
      </c>
      <c r="C131" s="41" t="s">
        <v>100</v>
      </c>
      <c r="D131" s="42" t="s">
        <v>1000</v>
      </c>
      <c r="E131" s="43" t="s">
        <v>166</v>
      </c>
      <c r="F131" s="41" t="s">
        <v>215</v>
      </c>
      <c r="G131" s="41" t="s">
        <v>272</v>
      </c>
      <c r="H131" s="41" t="s">
        <v>169</v>
      </c>
      <c r="I131" s="44"/>
      <c r="J131" s="41">
        <v>1250</v>
      </c>
      <c r="K131" s="100">
        <v>1</v>
      </c>
      <c r="L131" s="51">
        <v>40</v>
      </c>
      <c r="M131" s="106">
        <v>1050</v>
      </c>
      <c r="N131" s="103"/>
      <c r="O131" s="37">
        <v>45888</v>
      </c>
      <c r="P131" s="41"/>
      <c r="Q131" s="41"/>
      <c r="R131" s="41"/>
      <c r="S131" s="41"/>
      <c r="T131" s="107">
        <v>8500</v>
      </c>
      <c r="U131" s="41"/>
      <c r="V131" s="41"/>
      <c r="W131" s="41"/>
      <c r="X131" s="41"/>
      <c r="Y131" s="41"/>
      <c r="Z131" s="111">
        <v>4000</v>
      </c>
      <c r="AA131" s="41">
        <v>800</v>
      </c>
      <c r="AB131" s="41"/>
      <c r="AC131" s="41"/>
      <c r="AD131" s="41"/>
      <c r="AE131" s="40"/>
    </row>
    <row r="132" spans="1:31" hidden="1" x14ac:dyDescent="0.25">
      <c r="A132" s="41">
        <f t="shared" ref="A132:A195" si="2">A131+1</f>
        <v>131</v>
      </c>
      <c r="B132" s="41" t="s">
        <v>163</v>
      </c>
      <c r="C132" s="41" t="s">
        <v>100</v>
      </c>
      <c r="D132" s="42" t="s">
        <v>999</v>
      </c>
      <c r="E132" s="43" t="s">
        <v>166</v>
      </c>
      <c r="F132" s="41" t="s">
        <v>215</v>
      </c>
      <c r="G132" s="41" t="s">
        <v>184</v>
      </c>
      <c r="H132" s="41" t="s">
        <v>248</v>
      </c>
      <c r="I132" s="44"/>
      <c r="J132" s="41">
        <v>120</v>
      </c>
      <c r="K132" s="100">
        <v>1</v>
      </c>
      <c r="L132" s="51">
        <v>40</v>
      </c>
      <c r="M132" s="106">
        <v>25</v>
      </c>
      <c r="N132" s="103"/>
      <c r="O132" s="37">
        <v>45888</v>
      </c>
      <c r="P132" s="41"/>
      <c r="Q132" s="41" t="s">
        <v>879</v>
      </c>
      <c r="R132" s="41"/>
      <c r="S132" s="41"/>
      <c r="T132" s="107">
        <v>7000</v>
      </c>
      <c r="U132" s="41"/>
      <c r="V132" s="41"/>
      <c r="W132" s="41"/>
      <c r="X132" s="41"/>
      <c r="Y132" s="41"/>
      <c r="Z132" s="111">
        <v>4000</v>
      </c>
      <c r="AA132" s="41">
        <v>800</v>
      </c>
      <c r="AB132" s="41"/>
      <c r="AC132" s="41"/>
      <c r="AD132" s="41"/>
      <c r="AE132" s="40"/>
    </row>
    <row r="133" spans="1:31" hidden="1" x14ac:dyDescent="0.25">
      <c r="A133" s="41">
        <f t="shared" si="2"/>
        <v>132</v>
      </c>
      <c r="B133" s="41" t="s">
        <v>163</v>
      </c>
      <c r="C133" s="41" t="s">
        <v>100</v>
      </c>
      <c r="D133" s="42" t="s">
        <v>992</v>
      </c>
      <c r="E133" s="43" t="s">
        <v>166</v>
      </c>
      <c r="F133" s="41" t="s">
        <v>215</v>
      </c>
      <c r="G133" s="41" t="s">
        <v>184</v>
      </c>
      <c r="H133" s="41" t="s">
        <v>169</v>
      </c>
      <c r="I133" s="44">
        <v>20000</v>
      </c>
      <c r="J133" s="41">
        <v>300</v>
      </c>
      <c r="K133" s="100">
        <v>1</v>
      </c>
      <c r="L133" s="51">
        <v>40</v>
      </c>
      <c r="M133" s="106">
        <v>30</v>
      </c>
      <c r="N133" s="103"/>
      <c r="O133" s="37">
        <v>45888</v>
      </c>
      <c r="P133" s="41"/>
      <c r="Q133" s="41" t="s">
        <v>979</v>
      </c>
      <c r="R133" s="41"/>
      <c r="S133" s="41"/>
      <c r="T133" s="107">
        <v>8500</v>
      </c>
      <c r="U133" s="41"/>
      <c r="V133" s="41"/>
      <c r="W133" s="41"/>
      <c r="X133" s="41"/>
      <c r="Y133" s="41"/>
      <c r="Z133" s="111">
        <v>4000</v>
      </c>
      <c r="AA133" s="41">
        <v>800</v>
      </c>
      <c r="AB133" s="41"/>
      <c r="AC133" s="41"/>
      <c r="AD133" s="41"/>
      <c r="AE133" s="40"/>
    </row>
    <row r="134" spans="1:31" hidden="1" x14ac:dyDescent="0.25">
      <c r="A134" s="41">
        <f t="shared" si="2"/>
        <v>133</v>
      </c>
      <c r="B134" s="41" t="s">
        <v>163</v>
      </c>
      <c r="C134" s="41" t="s">
        <v>100</v>
      </c>
      <c r="D134" s="42" t="s">
        <v>991</v>
      </c>
      <c r="E134" s="43" t="s">
        <v>166</v>
      </c>
      <c r="F134" s="41" t="s">
        <v>215</v>
      </c>
      <c r="G134" s="41" t="s">
        <v>350</v>
      </c>
      <c r="H134" s="41" t="s">
        <v>248</v>
      </c>
      <c r="I134" s="44">
        <v>45000</v>
      </c>
      <c r="J134" s="41">
        <v>1200</v>
      </c>
      <c r="K134" s="100">
        <v>1</v>
      </c>
      <c r="L134" s="51">
        <v>50</v>
      </c>
      <c r="M134" s="106">
        <v>600</v>
      </c>
      <c r="N134" s="103"/>
      <c r="O134" s="37">
        <v>45888</v>
      </c>
      <c r="P134" s="41"/>
      <c r="Q134" s="41" t="s">
        <v>979</v>
      </c>
      <c r="R134" s="41"/>
      <c r="S134" s="41"/>
      <c r="T134" s="107">
        <v>10500</v>
      </c>
      <c r="U134" s="41"/>
      <c r="V134" s="41"/>
      <c r="W134" s="41"/>
      <c r="X134" s="41"/>
      <c r="Y134" s="41"/>
      <c r="Z134" s="111">
        <v>5000</v>
      </c>
      <c r="AA134" s="111">
        <v>1000</v>
      </c>
      <c r="AB134" s="41"/>
      <c r="AC134" s="41"/>
      <c r="AD134" s="41"/>
      <c r="AE134" s="40"/>
    </row>
    <row r="135" spans="1:31" x14ac:dyDescent="0.25">
      <c r="A135" s="41">
        <f t="shared" si="2"/>
        <v>134</v>
      </c>
      <c r="B135" s="41" t="s">
        <v>163</v>
      </c>
      <c r="C135" s="41" t="s">
        <v>100</v>
      </c>
      <c r="D135" s="42" t="s">
        <v>995</v>
      </c>
      <c r="E135" s="43" t="s">
        <v>166</v>
      </c>
      <c r="F135" s="43" t="s">
        <v>181</v>
      </c>
      <c r="G135" s="41" t="s">
        <v>371</v>
      </c>
      <c r="H135" s="41" t="s">
        <v>248</v>
      </c>
      <c r="I135" s="44">
        <v>12000</v>
      </c>
      <c r="J135" s="41">
        <v>240</v>
      </c>
      <c r="K135" s="100">
        <v>1</v>
      </c>
      <c r="L135" s="51">
        <v>80</v>
      </c>
      <c r="M135" s="109">
        <v>0</v>
      </c>
      <c r="N135" s="103"/>
      <c r="O135" s="37">
        <v>45888</v>
      </c>
      <c r="P135" s="41"/>
      <c r="Q135" s="41"/>
      <c r="R135" s="41"/>
      <c r="S135" s="41"/>
      <c r="T135" s="102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0"/>
    </row>
    <row r="136" spans="1:31" hidden="1" x14ac:dyDescent="0.25">
      <c r="A136" s="41">
        <f t="shared" si="2"/>
        <v>135</v>
      </c>
      <c r="B136" s="41" t="s">
        <v>163</v>
      </c>
      <c r="C136" s="41" t="s">
        <v>100</v>
      </c>
      <c r="D136" s="42" t="s">
        <v>997</v>
      </c>
      <c r="E136" s="43" t="s">
        <v>166</v>
      </c>
      <c r="F136" s="41" t="s">
        <v>167</v>
      </c>
      <c r="G136" s="41" t="s">
        <v>328</v>
      </c>
      <c r="H136" s="41" t="s">
        <v>169</v>
      </c>
      <c r="I136" s="44">
        <v>70000</v>
      </c>
      <c r="J136" s="41">
        <v>1750</v>
      </c>
      <c r="K136" s="100">
        <v>0.7</v>
      </c>
      <c r="L136" s="51">
        <v>40</v>
      </c>
      <c r="M136" s="106">
        <v>598</v>
      </c>
      <c r="N136" s="103"/>
      <c r="O136" s="37">
        <v>45888</v>
      </c>
      <c r="P136" s="41"/>
      <c r="Q136" s="41" t="s">
        <v>996</v>
      </c>
      <c r="R136" s="41">
        <v>578</v>
      </c>
      <c r="S136" s="41">
        <v>20</v>
      </c>
      <c r="T136" s="107">
        <v>8500</v>
      </c>
      <c r="U136" s="41"/>
      <c r="V136" s="41"/>
      <c r="W136" s="41"/>
      <c r="X136" s="41"/>
      <c r="Y136" s="41"/>
      <c r="Z136" s="111">
        <v>4500</v>
      </c>
      <c r="AA136" s="41">
        <v>900</v>
      </c>
      <c r="AB136" s="41"/>
      <c r="AC136" s="41"/>
      <c r="AD136" s="41"/>
      <c r="AE136" s="40"/>
    </row>
    <row r="137" spans="1:31" x14ac:dyDescent="0.25">
      <c r="A137" s="41">
        <f t="shared" si="2"/>
        <v>136</v>
      </c>
      <c r="B137" s="41" t="s">
        <v>163</v>
      </c>
      <c r="C137" s="41" t="s">
        <v>372</v>
      </c>
      <c r="D137" s="42" t="s">
        <v>373</v>
      </c>
      <c r="E137" s="43" t="s">
        <v>166</v>
      </c>
      <c r="F137" s="43" t="s">
        <v>198</v>
      </c>
      <c r="G137" s="41" t="s">
        <v>374</v>
      </c>
      <c r="H137" s="41" t="s">
        <v>169</v>
      </c>
      <c r="I137" s="44">
        <v>55000</v>
      </c>
      <c r="J137" s="41">
        <v>1100</v>
      </c>
      <c r="K137" s="100">
        <v>0.77</v>
      </c>
      <c r="L137" s="51">
        <v>50</v>
      </c>
      <c r="M137" s="109">
        <v>0</v>
      </c>
      <c r="N137" s="103"/>
      <c r="O137" s="37">
        <v>45897</v>
      </c>
      <c r="P137" s="41"/>
      <c r="Q137" s="41"/>
      <c r="R137" s="41"/>
      <c r="S137" s="41"/>
      <c r="T137" s="102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0"/>
    </row>
    <row r="138" spans="1:31" hidden="1" x14ac:dyDescent="0.25">
      <c r="A138" s="41">
        <f t="shared" si="2"/>
        <v>137</v>
      </c>
      <c r="B138" s="41" t="s">
        <v>163</v>
      </c>
      <c r="C138" s="41" t="s">
        <v>372</v>
      </c>
      <c r="D138" s="42" t="s">
        <v>375</v>
      </c>
      <c r="E138" s="43" t="s">
        <v>166</v>
      </c>
      <c r="F138" s="41" t="s">
        <v>198</v>
      </c>
      <c r="G138" s="41" t="s">
        <v>376</v>
      </c>
      <c r="H138" s="41" t="s">
        <v>169</v>
      </c>
      <c r="I138" s="44">
        <v>60000</v>
      </c>
      <c r="J138" s="41">
        <v>1200</v>
      </c>
      <c r="K138" s="100">
        <v>1</v>
      </c>
      <c r="L138" s="51">
        <v>50</v>
      </c>
      <c r="M138" s="106">
        <v>966</v>
      </c>
      <c r="N138" s="103"/>
      <c r="O138" s="37">
        <v>45897</v>
      </c>
      <c r="P138" s="41"/>
      <c r="Q138" s="41" t="s">
        <v>1042</v>
      </c>
      <c r="R138" s="41"/>
      <c r="S138" s="41"/>
      <c r="T138" s="102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0"/>
    </row>
    <row r="139" spans="1:31" hidden="1" x14ac:dyDescent="0.25">
      <c r="A139" s="41">
        <f t="shared" si="2"/>
        <v>138</v>
      </c>
      <c r="B139" s="41" t="s">
        <v>163</v>
      </c>
      <c r="C139" s="41" t="s">
        <v>372</v>
      </c>
      <c r="D139" s="34" t="s">
        <v>1045</v>
      </c>
      <c r="E139" s="43" t="s">
        <v>166</v>
      </c>
      <c r="F139" s="41" t="s">
        <v>198</v>
      </c>
      <c r="G139" s="41" t="s">
        <v>376</v>
      </c>
      <c r="H139" s="41" t="s">
        <v>169</v>
      </c>
      <c r="I139" s="34"/>
      <c r="J139" s="34"/>
      <c r="K139" s="34"/>
      <c r="L139" s="34"/>
      <c r="M139" s="86">
        <v>518</v>
      </c>
      <c r="N139" s="40"/>
      <c r="O139" s="37">
        <v>45897</v>
      </c>
      <c r="P139" s="40"/>
      <c r="Q139" s="40" t="s">
        <v>1046</v>
      </c>
      <c r="R139" s="40"/>
      <c r="S139" s="40"/>
      <c r="T139" s="92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</row>
    <row r="140" spans="1:31" hidden="1" x14ac:dyDescent="0.25">
      <c r="A140" s="41">
        <f t="shared" si="2"/>
        <v>139</v>
      </c>
      <c r="B140" s="41" t="s">
        <v>163</v>
      </c>
      <c r="C140" s="41" t="s">
        <v>372</v>
      </c>
      <c r="D140" s="42" t="s">
        <v>377</v>
      </c>
      <c r="E140" s="43" t="s">
        <v>166</v>
      </c>
      <c r="F140" s="43" t="s">
        <v>198</v>
      </c>
      <c r="G140" s="41" t="s">
        <v>378</v>
      </c>
      <c r="H140" s="41" t="s">
        <v>169</v>
      </c>
      <c r="I140" s="44">
        <v>9300</v>
      </c>
      <c r="J140" s="41">
        <v>186</v>
      </c>
      <c r="K140" s="100">
        <v>0</v>
      </c>
      <c r="L140" s="51">
        <v>50</v>
      </c>
      <c r="M140" s="106">
        <v>188</v>
      </c>
      <c r="N140" s="103"/>
      <c r="O140" s="37">
        <v>45897</v>
      </c>
      <c r="P140" s="41"/>
      <c r="Q140" s="41" t="s">
        <v>1043</v>
      </c>
      <c r="R140" s="41"/>
      <c r="S140" s="41"/>
      <c r="T140" s="102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0"/>
    </row>
    <row r="141" spans="1:31" x14ac:dyDescent="0.25">
      <c r="A141" s="41">
        <f t="shared" si="2"/>
        <v>140</v>
      </c>
      <c r="B141" s="41" t="s">
        <v>163</v>
      </c>
      <c r="C141" s="41" t="s">
        <v>372</v>
      </c>
      <c r="D141" s="42" t="s">
        <v>379</v>
      </c>
      <c r="E141" s="43" t="s">
        <v>166</v>
      </c>
      <c r="F141" s="41" t="s">
        <v>198</v>
      </c>
      <c r="G141" s="41" t="s">
        <v>380</v>
      </c>
      <c r="H141" s="41" t="s">
        <v>169</v>
      </c>
      <c r="I141" s="44">
        <v>50500</v>
      </c>
      <c r="J141" s="41">
        <v>1010</v>
      </c>
      <c r="K141" s="100">
        <v>0</v>
      </c>
      <c r="L141" s="51">
        <v>50</v>
      </c>
      <c r="M141" s="109">
        <v>0</v>
      </c>
      <c r="N141" s="103"/>
      <c r="O141" s="37">
        <v>45897</v>
      </c>
      <c r="P141" s="41"/>
      <c r="Q141" s="41"/>
      <c r="R141" s="41"/>
      <c r="S141" s="41"/>
      <c r="T141" s="102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0"/>
    </row>
    <row r="142" spans="1:31" hidden="1" x14ac:dyDescent="0.25">
      <c r="A142" s="41">
        <f t="shared" si="2"/>
        <v>141</v>
      </c>
      <c r="B142" s="41" t="s">
        <v>163</v>
      </c>
      <c r="C142" s="41" t="s">
        <v>372</v>
      </c>
      <c r="D142" s="42" t="s">
        <v>381</v>
      </c>
      <c r="E142" s="43" t="s">
        <v>166</v>
      </c>
      <c r="F142" s="43" t="s">
        <v>382</v>
      </c>
      <c r="G142" s="41" t="s">
        <v>383</v>
      </c>
      <c r="H142" s="41" t="s">
        <v>169</v>
      </c>
      <c r="I142" s="44">
        <v>70000</v>
      </c>
      <c r="J142" s="41">
        <v>1400</v>
      </c>
      <c r="K142" s="100">
        <v>1</v>
      </c>
      <c r="L142" s="51">
        <v>50</v>
      </c>
      <c r="M142" s="106">
        <v>152</v>
      </c>
      <c r="N142" s="103"/>
      <c r="O142" s="37">
        <v>45897</v>
      </c>
      <c r="P142" s="41"/>
      <c r="Q142" s="41" t="s">
        <v>1041</v>
      </c>
      <c r="R142" s="41"/>
      <c r="S142" s="41"/>
      <c r="T142" s="102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0"/>
    </row>
    <row r="143" spans="1:31" x14ac:dyDescent="0.25">
      <c r="A143" s="41">
        <f t="shared" si="2"/>
        <v>142</v>
      </c>
      <c r="B143" s="41" t="s">
        <v>163</v>
      </c>
      <c r="C143" s="41" t="s">
        <v>372</v>
      </c>
      <c r="D143" s="42" t="s">
        <v>384</v>
      </c>
      <c r="E143" s="43" t="s">
        <v>166</v>
      </c>
      <c r="F143" s="41" t="s">
        <v>382</v>
      </c>
      <c r="G143" s="41" t="s">
        <v>383</v>
      </c>
      <c r="H143" s="41" t="s">
        <v>169</v>
      </c>
      <c r="I143" s="44">
        <v>2500</v>
      </c>
      <c r="J143" s="41">
        <v>50</v>
      </c>
      <c r="K143" s="100">
        <v>1</v>
      </c>
      <c r="L143" s="51">
        <v>50</v>
      </c>
      <c r="M143" s="109">
        <v>0</v>
      </c>
      <c r="N143" s="103"/>
      <c r="O143" s="37">
        <v>45897</v>
      </c>
      <c r="P143" s="41"/>
      <c r="Q143" s="41"/>
      <c r="R143" s="41"/>
      <c r="S143" s="41"/>
      <c r="T143" s="102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0"/>
    </row>
    <row r="144" spans="1:31" hidden="1" x14ac:dyDescent="0.25">
      <c r="A144" s="41">
        <f t="shared" si="2"/>
        <v>143</v>
      </c>
      <c r="B144" s="41" t="s">
        <v>163</v>
      </c>
      <c r="C144" s="41" t="s">
        <v>372</v>
      </c>
      <c r="D144" s="42" t="s">
        <v>385</v>
      </c>
      <c r="E144" s="43" t="s">
        <v>166</v>
      </c>
      <c r="F144" s="43" t="s">
        <v>382</v>
      </c>
      <c r="G144" s="41" t="s">
        <v>386</v>
      </c>
      <c r="H144" s="41" t="s">
        <v>169</v>
      </c>
      <c r="I144" s="44">
        <v>21545</v>
      </c>
      <c r="J144" s="41">
        <v>430.9</v>
      </c>
      <c r="K144" s="100">
        <v>0.87</v>
      </c>
      <c r="L144" s="51">
        <v>50</v>
      </c>
      <c r="M144" s="106">
        <v>618</v>
      </c>
      <c r="N144" s="103"/>
      <c r="O144" s="37">
        <v>45897</v>
      </c>
      <c r="P144" s="41"/>
      <c r="Q144" s="41" t="s">
        <v>1044</v>
      </c>
      <c r="R144" s="41"/>
      <c r="S144" s="41"/>
      <c r="T144" s="102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0"/>
    </row>
    <row r="145" spans="1:31" hidden="1" x14ac:dyDescent="0.25">
      <c r="A145" s="41">
        <f t="shared" si="2"/>
        <v>144</v>
      </c>
      <c r="B145" s="41" t="s">
        <v>163</v>
      </c>
      <c r="C145" s="41" t="s">
        <v>372</v>
      </c>
      <c r="D145" s="42" t="s">
        <v>387</v>
      </c>
      <c r="E145" s="43" t="s">
        <v>166</v>
      </c>
      <c r="F145" s="41" t="s">
        <v>388</v>
      </c>
      <c r="G145" s="41" t="s">
        <v>209</v>
      </c>
      <c r="H145" s="41" t="s">
        <v>169</v>
      </c>
      <c r="I145" s="44">
        <v>16025</v>
      </c>
      <c r="J145" s="41">
        <v>320.5</v>
      </c>
      <c r="K145" s="100">
        <v>0</v>
      </c>
      <c r="L145" s="51">
        <v>50</v>
      </c>
      <c r="M145" s="106">
        <v>271</v>
      </c>
      <c r="N145" s="103"/>
      <c r="O145" s="37">
        <v>45897</v>
      </c>
      <c r="P145" s="41"/>
      <c r="Q145" s="41" t="s">
        <v>879</v>
      </c>
      <c r="R145" s="41"/>
      <c r="S145" s="41"/>
      <c r="T145" s="102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0"/>
    </row>
    <row r="146" spans="1:31" hidden="1" x14ac:dyDescent="0.25">
      <c r="A146" s="41">
        <f t="shared" si="2"/>
        <v>145</v>
      </c>
      <c r="B146" s="41" t="s">
        <v>163</v>
      </c>
      <c r="C146" s="41" t="s">
        <v>372</v>
      </c>
      <c r="D146" s="42" t="s">
        <v>1075</v>
      </c>
      <c r="E146" s="43" t="s">
        <v>166</v>
      </c>
      <c r="F146" s="43" t="s">
        <v>176</v>
      </c>
      <c r="G146" s="41" t="s">
        <v>389</v>
      </c>
      <c r="H146" s="41" t="s">
        <v>169</v>
      </c>
      <c r="I146" s="44">
        <v>4100</v>
      </c>
      <c r="J146" s="41">
        <v>82</v>
      </c>
      <c r="K146" s="100">
        <v>0</v>
      </c>
      <c r="L146" s="51">
        <v>50</v>
      </c>
      <c r="M146" s="106">
        <v>91</v>
      </c>
      <c r="N146" s="103"/>
      <c r="O146" s="37">
        <v>45897</v>
      </c>
      <c r="P146" s="41"/>
      <c r="Q146" s="41" t="s">
        <v>1043</v>
      </c>
      <c r="R146" s="41"/>
      <c r="S146" s="41"/>
      <c r="T146" s="102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0"/>
    </row>
    <row r="147" spans="1:31" hidden="1" x14ac:dyDescent="0.25">
      <c r="A147" s="41">
        <f t="shared" si="2"/>
        <v>146</v>
      </c>
      <c r="B147" s="41" t="s">
        <v>163</v>
      </c>
      <c r="C147" s="41" t="s">
        <v>390</v>
      </c>
      <c r="D147" s="42" t="s">
        <v>391</v>
      </c>
      <c r="E147" s="43" t="s">
        <v>166</v>
      </c>
      <c r="F147" s="43" t="s">
        <v>176</v>
      </c>
      <c r="G147" s="41" t="s">
        <v>276</v>
      </c>
      <c r="H147" s="41" t="s">
        <v>169</v>
      </c>
      <c r="I147" s="44">
        <v>33000</v>
      </c>
      <c r="J147" s="41">
        <v>700</v>
      </c>
      <c r="K147" s="100">
        <v>0.7</v>
      </c>
      <c r="L147" s="51">
        <v>10000</v>
      </c>
      <c r="M147" s="106">
        <v>30</v>
      </c>
      <c r="N147" s="103"/>
      <c r="O147" s="37">
        <v>45889</v>
      </c>
      <c r="P147" s="41"/>
      <c r="Q147" s="41"/>
      <c r="R147" s="41"/>
      <c r="S147" s="41"/>
      <c r="T147" s="107">
        <v>8500</v>
      </c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0"/>
    </row>
    <row r="148" spans="1:31" hidden="1" x14ac:dyDescent="0.25">
      <c r="A148" s="41">
        <f t="shared" si="2"/>
        <v>147</v>
      </c>
      <c r="B148" s="41" t="s">
        <v>163</v>
      </c>
      <c r="C148" s="41" t="s">
        <v>390</v>
      </c>
      <c r="D148" s="42" t="s">
        <v>392</v>
      </c>
      <c r="E148" s="43" t="s">
        <v>166</v>
      </c>
      <c r="F148" s="43" t="s">
        <v>176</v>
      </c>
      <c r="G148" s="41" t="s">
        <v>1076</v>
      </c>
      <c r="H148" s="41" t="s">
        <v>169</v>
      </c>
      <c r="I148" s="44">
        <v>7000</v>
      </c>
      <c r="J148" s="41">
        <v>140</v>
      </c>
      <c r="K148" s="100">
        <v>0.5</v>
      </c>
      <c r="L148" s="51">
        <v>8500</v>
      </c>
      <c r="M148" s="41"/>
      <c r="N148" s="103"/>
      <c r="O148" s="37"/>
      <c r="P148" s="41"/>
      <c r="Q148" s="41"/>
      <c r="R148" s="41"/>
      <c r="S148" s="41"/>
      <c r="T148" s="102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0"/>
    </row>
    <row r="149" spans="1:31" hidden="1" x14ac:dyDescent="0.25">
      <c r="A149" s="41">
        <f t="shared" si="2"/>
        <v>148</v>
      </c>
      <c r="B149" s="41" t="s">
        <v>163</v>
      </c>
      <c r="C149" s="41" t="s">
        <v>108</v>
      </c>
      <c r="D149" s="41" t="s">
        <v>393</v>
      </c>
      <c r="E149" s="43" t="s">
        <v>171</v>
      </c>
      <c r="F149" s="43" t="s">
        <v>176</v>
      </c>
      <c r="G149" s="41" t="s">
        <v>394</v>
      </c>
      <c r="H149" s="41" t="s">
        <v>169</v>
      </c>
      <c r="I149" s="41">
        <v>64000</v>
      </c>
      <c r="J149" s="41">
        <v>1100</v>
      </c>
      <c r="K149" s="100">
        <v>0.95</v>
      </c>
      <c r="L149" s="51">
        <v>75</v>
      </c>
      <c r="M149" s="106">
        <v>156</v>
      </c>
      <c r="N149" s="103"/>
      <c r="O149" s="37">
        <v>45909</v>
      </c>
      <c r="P149" s="41"/>
      <c r="Q149" s="41"/>
      <c r="R149" s="41"/>
      <c r="S149" s="41"/>
      <c r="T149" s="102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0"/>
    </row>
    <row r="150" spans="1:31" hidden="1" x14ac:dyDescent="0.25">
      <c r="A150" s="41">
        <f t="shared" si="2"/>
        <v>149</v>
      </c>
      <c r="B150" s="41" t="s">
        <v>163</v>
      </c>
      <c r="C150" s="41" t="s">
        <v>108</v>
      </c>
      <c r="D150" s="41" t="s">
        <v>1077</v>
      </c>
      <c r="E150" s="41" t="s">
        <v>171</v>
      </c>
      <c r="F150" s="41" t="s">
        <v>215</v>
      </c>
      <c r="G150" s="41" t="s">
        <v>874</v>
      </c>
      <c r="H150" s="41" t="s">
        <v>169</v>
      </c>
      <c r="I150" s="41"/>
      <c r="J150" s="41">
        <v>750</v>
      </c>
      <c r="K150" s="100">
        <v>0</v>
      </c>
      <c r="L150" s="41"/>
      <c r="M150" s="106">
        <v>750</v>
      </c>
      <c r="N150" s="41"/>
      <c r="O150" s="37">
        <v>45909</v>
      </c>
      <c r="P150" s="41"/>
      <c r="Q150" s="41"/>
      <c r="R150" s="41"/>
      <c r="S150" s="41"/>
      <c r="T150" s="102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0"/>
    </row>
    <row r="151" spans="1:31" hidden="1" x14ac:dyDescent="0.25">
      <c r="A151" s="41">
        <f t="shared" si="2"/>
        <v>150</v>
      </c>
      <c r="B151" s="41" t="s">
        <v>163</v>
      </c>
      <c r="C151" s="41" t="s">
        <v>108</v>
      </c>
      <c r="D151" s="41" t="s">
        <v>395</v>
      </c>
      <c r="E151" s="43" t="s">
        <v>171</v>
      </c>
      <c r="F151" s="43" t="s">
        <v>176</v>
      </c>
      <c r="G151" s="41" t="s">
        <v>396</v>
      </c>
      <c r="H151" s="41" t="s">
        <v>169</v>
      </c>
      <c r="I151" s="41">
        <v>12000</v>
      </c>
      <c r="J151" s="41">
        <v>200</v>
      </c>
      <c r="K151" s="100">
        <v>0.65</v>
      </c>
      <c r="L151" s="51">
        <v>60</v>
      </c>
      <c r="M151" s="106">
        <v>46</v>
      </c>
      <c r="N151" s="103"/>
      <c r="O151" s="37">
        <v>45909</v>
      </c>
      <c r="P151" s="41"/>
      <c r="Q151" s="41"/>
      <c r="R151" s="41"/>
      <c r="S151" s="41"/>
      <c r="T151" s="102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0"/>
    </row>
    <row r="152" spans="1:31" x14ac:dyDescent="0.25">
      <c r="A152" s="41">
        <f t="shared" si="2"/>
        <v>151</v>
      </c>
      <c r="B152" s="41" t="s">
        <v>163</v>
      </c>
      <c r="C152" s="41" t="s">
        <v>108</v>
      </c>
      <c r="D152" s="41" t="s">
        <v>397</v>
      </c>
      <c r="E152" s="43" t="s">
        <v>171</v>
      </c>
      <c r="F152" s="43" t="s">
        <v>181</v>
      </c>
      <c r="G152" s="41" t="s">
        <v>398</v>
      </c>
      <c r="H152" s="41" t="s">
        <v>169</v>
      </c>
      <c r="I152" s="41">
        <v>18000</v>
      </c>
      <c r="J152" s="41">
        <v>450</v>
      </c>
      <c r="K152" s="100">
        <v>1</v>
      </c>
      <c r="L152" s="51">
        <v>51</v>
      </c>
      <c r="M152" s="109">
        <v>0</v>
      </c>
      <c r="N152" s="103"/>
      <c r="O152" s="37">
        <v>45909</v>
      </c>
      <c r="P152" s="41"/>
      <c r="Q152" s="41"/>
      <c r="R152" s="41"/>
      <c r="S152" s="41"/>
      <c r="T152" s="102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0"/>
    </row>
    <row r="153" spans="1:31" x14ac:dyDescent="0.25">
      <c r="A153" s="41">
        <f t="shared" si="2"/>
        <v>152</v>
      </c>
      <c r="B153" s="41" t="s">
        <v>163</v>
      </c>
      <c r="C153" s="41" t="s">
        <v>108</v>
      </c>
      <c r="D153" s="41" t="s">
        <v>399</v>
      </c>
      <c r="E153" s="43" t="s">
        <v>171</v>
      </c>
      <c r="F153" s="43" t="s">
        <v>181</v>
      </c>
      <c r="G153" s="41" t="s">
        <v>184</v>
      </c>
      <c r="H153" s="41" t="s">
        <v>169</v>
      </c>
      <c r="I153" s="41">
        <v>28000</v>
      </c>
      <c r="J153" s="45">
        <v>450</v>
      </c>
      <c r="K153" s="100">
        <v>1</v>
      </c>
      <c r="L153" s="51">
        <v>55</v>
      </c>
      <c r="M153" s="109">
        <v>0</v>
      </c>
      <c r="N153" s="103"/>
      <c r="O153" s="37">
        <v>45909</v>
      </c>
      <c r="P153" s="41"/>
      <c r="Q153" s="41"/>
      <c r="R153" s="41"/>
      <c r="S153" s="41"/>
      <c r="T153" s="102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0"/>
    </row>
    <row r="154" spans="1:31" hidden="1" x14ac:dyDescent="0.25">
      <c r="A154" s="41">
        <f t="shared" si="2"/>
        <v>153</v>
      </c>
      <c r="B154" s="41" t="s">
        <v>163</v>
      </c>
      <c r="C154" s="41" t="s">
        <v>108</v>
      </c>
      <c r="D154" s="41" t="s">
        <v>400</v>
      </c>
      <c r="E154" s="43" t="s">
        <v>171</v>
      </c>
      <c r="F154" s="43" t="s">
        <v>181</v>
      </c>
      <c r="G154" s="41" t="s">
        <v>184</v>
      </c>
      <c r="H154" s="41" t="s">
        <v>248</v>
      </c>
      <c r="I154" s="41">
        <v>24500</v>
      </c>
      <c r="J154" s="45">
        <v>488</v>
      </c>
      <c r="K154" s="100">
        <v>1</v>
      </c>
      <c r="L154" s="51">
        <v>50</v>
      </c>
      <c r="M154" s="106">
        <v>488</v>
      </c>
      <c r="N154" s="103"/>
      <c r="O154" s="37">
        <v>45909</v>
      </c>
      <c r="P154" s="41"/>
      <c r="Q154" s="41"/>
      <c r="R154" s="41"/>
      <c r="S154" s="41"/>
      <c r="T154" s="102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0"/>
    </row>
    <row r="155" spans="1:31" x14ac:dyDescent="0.25">
      <c r="A155" s="41">
        <f t="shared" si="2"/>
        <v>154</v>
      </c>
      <c r="B155" s="41" t="s">
        <v>163</v>
      </c>
      <c r="C155" s="41" t="s">
        <v>108</v>
      </c>
      <c r="D155" s="41" t="s">
        <v>401</v>
      </c>
      <c r="E155" s="43" t="s">
        <v>171</v>
      </c>
      <c r="F155" s="43" t="s">
        <v>181</v>
      </c>
      <c r="G155" s="41" t="s">
        <v>875</v>
      </c>
      <c r="H155" s="41" t="s">
        <v>169</v>
      </c>
      <c r="I155" s="41">
        <v>4000</v>
      </c>
      <c r="J155" s="41">
        <v>84</v>
      </c>
      <c r="K155" s="100">
        <v>1</v>
      </c>
      <c r="L155" s="51">
        <v>50</v>
      </c>
      <c r="M155" s="109">
        <v>0</v>
      </c>
      <c r="N155" s="103"/>
      <c r="O155" s="37">
        <v>45909</v>
      </c>
      <c r="P155" s="41"/>
      <c r="Q155" s="41"/>
      <c r="R155" s="41"/>
      <c r="S155" s="41"/>
      <c r="T155" s="102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0"/>
    </row>
    <row r="156" spans="1:31" x14ac:dyDescent="0.25">
      <c r="A156" s="41">
        <f t="shared" si="2"/>
        <v>155</v>
      </c>
      <c r="B156" s="41" t="s">
        <v>163</v>
      </c>
      <c r="C156" s="41" t="s">
        <v>108</v>
      </c>
      <c r="D156" s="41" t="s">
        <v>402</v>
      </c>
      <c r="E156" s="43" t="s">
        <v>171</v>
      </c>
      <c r="F156" s="43" t="s">
        <v>181</v>
      </c>
      <c r="G156" s="41" t="s">
        <v>213</v>
      </c>
      <c r="H156" s="41" t="s">
        <v>169</v>
      </c>
      <c r="I156" s="41">
        <v>70000</v>
      </c>
      <c r="J156" s="41">
        <v>1100</v>
      </c>
      <c r="K156" s="100">
        <v>0.99</v>
      </c>
      <c r="L156" s="51">
        <v>65</v>
      </c>
      <c r="M156" s="106">
        <v>8</v>
      </c>
      <c r="N156" s="103"/>
      <c r="O156" s="37">
        <v>45909</v>
      </c>
      <c r="P156" s="41"/>
      <c r="Q156" s="41"/>
      <c r="R156" s="41"/>
      <c r="S156" s="41"/>
      <c r="T156" s="102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0"/>
    </row>
    <row r="157" spans="1:31" hidden="1" x14ac:dyDescent="0.25">
      <c r="A157" s="41">
        <f t="shared" si="2"/>
        <v>156</v>
      </c>
      <c r="B157" s="41" t="s">
        <v>163</v>
      </c>
      <c r="C157" s="41" t="s">
        <v>108</v>
      </c>
      <c r="D157" s="41" t="s">
        <v>403</v>
      </c>
      <c r="E157" s="43" t="s">
        <v>171</v>
      </c>
      <c r="F157" s="43" t="s">
        <v>181</v>
      </c>
      <c r="G157" s="41" t="s">
        <v>404</v>
      </c>
      <c r="H157" s="41" t="s">
        <v>248</v>
      </c>
      <c r="I157" s="41">
        <v>27000</v>
      </c>
      <c r="J157" s="41">
        <v>500</v>
      </c>
      <c r="K157" s="100">
        <v>0.93</v>
      </c>
      <c r="L157" s="51">
        <v>55</v>
      </c>
      <c r="M157" s="106">
        <v>33</v>
      </c>
      <c r="N157" s="103"/>
      <c r="O157" s="37">
        <v>45909</v>
      </c>
      <c r="P157" s="41"/>
      <c r="Q157" s="41"/>
      <c r="R157" s="41"/>
      <c r="S157" s="41"/>
      <c r="T157" s="102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0"/>
    </row>
    <row r="158" spans="1:31" hidden="1" x14ac:dyDescent="0.25">
      <c r="A158" s="41">
        <f t="shared" si="2"/>
        <v>157</v>
      </c>
      <c r="B158" s="41" t="s">
        <v>163</v>
      </c>
      <c r="C158" s="41" t="s">
        <v>108</v>
      </c>
      <c r="D158" s="41" t="s">
        <v>405</v>
      </c>
      <c r="E158" s="43" t="s">
        <v>166</v>
      </c>
      <c r="F158" s="43" t="s">
        <v>176</v>
      </c>
      <c r="G158" s="41" t="s">
        <v>876</v>
      </c>
      <c r="H158" s="41" t="s">
        <v>248</v>
      </c>
      <c r="I158" s="41">
        <v>11500</v>
      </c>
      <c r="J158" s="41">
        <v>540</v>
      </c>
      <c r="K158" s="100">
        <v>1</v>
      </c>
      <c r="L158" s="51">
        <v>50</v>
      </c>
      <c r="M158" s="106">
        <v>240</v>
      </c>
      <c r="N158" s="103"/>
      <c r="O158" s="37">
        <v>45909</v>
      </c>
      <c r="P158" s="41"/>
      <c r="Q158" s="41"/>
      <c r="R158" s="41"/>
      <c r="S158" s="41"/>
      <c r="T158" s="102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0"/>
    </row>
    <row r="159" spans="1:31" x14ac:dyDescent="0.25">
      <c r="A159" s="41">
        <f t="shared" si="2"/>
        <v>158</v>
      </c>
      <c r="B159" s="41" t="s">
        <v>163</v>
      </c>
      <c r="C159" s="41" t="s">
        <v>108</v>
      </c>
      <c r="D159" s="41" t="s">
        <v>406</v>
      </c>
      <c r="E159" s="43" t="s">
        <v>171</v>
      </c>
      <c r="F159" s="43" t="s">
        <v>181</v>
      </c>
      <c r="G159" s="41" t="s">
        <v>184</v>
      </c>
      <c r="H159" s="41" t="s">
        <v>248</v>
      </c>
      <c r="I159" s="41">
        <v>12000</v>
      </c>
      <c r="J159" s="45">
        <v>200</v>
      </c>
      <c r="K159" s="100">
        <v>1</v>
      </c>
      <c r="L159" s="51">
        <v>60</v>
      </c>
      <c r="M159" s="109">
        <v>0</v>
      </c>
      <c r="N159" s="103"/>
      <c r="O159" s="37">
        <v>45909</v>
      </c>
      <c r="P159" s="41"/>
      <c r="Q159" s="41"/>
      <c r="R159" s="41"/>
      <c r="S159" s="41"/>
      <c r="T159" s="102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0"/>
    </row>
    <row r="160" spans="1:31" hidden="1" x14ac:dyDescent="0.25">
      <c r="A160" s="41">
        <f t="shared" si="2"/>
        <v>159</v>
      </c>
      <c r="B160" s="41" t="s">
        <v>163</v>
      </c>
      <c r="C160" s="41" t="s">
        <v>108</v>
      </c>
      <c r="D160" s="41" t="s">
        <v>891</v>
      </c>
      <c r="E160" s="41" t="s">
        <v>171</v>
      </c>
      <c r="F160" s="41" t="s">
        <v>181</v>
      </c>
      <c r="G160" s="41" t="s">
        <v>890</v>
      </c>
      <c r="H160" s="41" t="s">
        <v>248</v>
      </c>
      <c r="I160" s="41"/>
      <c r="J160" s="41">
        <v>550</v>
      </c>
      <c r="K160" s="41"/>
      <c r="L160" s="41"/>
      <c r="M160" s="106">
        <v>350</v>
      </c>
      <c r="N160" s="41"/>
      <c r="O160" s="37">
        <v>45909</v>
      </c>
      <c r="P160" s="41"/>
      <c r="Q160" s="41"/>
      <c r="R160" s="41"/>
      <c r="S160" s="41"/>
      <c r="T160" s="102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0"/>
    </row>
    <row r="161" spans="1:31" hidden="1" x14ac:dyDescent="0.25">
      <c r="A161" s="41">
        <f t="shared" si="2"/>
        <v>160</v>
      </c>
      <c r="B161" s="41" t="s">
        <v>163</v>
      </c>
      <c r="C161" s="41" t="s">
        <v>108</v>
      </c>
      <c r="D161" s="41" t="s">
        <v>892</v>
      </c>
      <c r="E161" s="41"/>
      <c r="F161" s="41" t="s">
        <v>192</v>
      </c>
      <c r="G161" s="41" t="s">
        <v>893</v>
      </c>
      <c r="H161" s="41" t="s">
        <v>248</v>
      </c>
      <c r="I161" s="41"/>
      <c r="J161" s="41">
        <v>1100</v>
      </c>
      <c r="K161" s="41"/>
      <c r="L161" s="41"/>
      <c r="M161" s="106">
        <v>600</v>
      </c>
      <c r="N161" s="41"/>
      <c r="O161" s="37">
        <v>45909</v>
      </c>
      <c r="P161" s="41"/>
      <c r="Q161" s="41"/>
      <c r="R161" s="41"/>
      <c r="S161" s="41"/>
      <c r="T161" s="102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0"/>
    </row>
    <row r="162" spans="1:31" hidden="1" x14ac:dyDescent="0.25">
      <c r="A162" s="41">
        <f t="shared" si="2"/>
        <v>161</v>
      </c>
      <c r="B162" s="41" t="s">
        <v>163</v>
      </c>
      <c r="C162" s="41" t="s">
        <v>108</v>
      </c>
      <c r="D162" s="41" t="s">
        <v>894</v>
      </c>
      <c r="E162" s="41"/>
      <c r="F162" s="41" t="s">
        <v>198</v>
      </c>
      <c r="G162" s="41" t="s">
        <v>895</v>
      </c>
      <c r="H162" s="41" t="s">
        <v>169</v>
      </c>
      <c r="I162" s="41"/>
      <c r="J162" s="41">
        <v>2600</v>
      </c>
      <c r="K162" s="41"/>
      <c r="L162" s="41"/>
      <c r="M162" s="106">
        <v>1300</v>
      </c>
      <c r="N162" s="41"/>
      <c r="O162" s="37">
        <v>45909</v>
      </c>
      <c r="P162" s="41"/>
      <c r="Q162" s="41"/>
      <c r="R162" s="41"/>
      <c r="S162" s="41"/>
      <c r="T162" s="102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0"/>
    </row>
    <row r="163" spans="1:31" hidden="1" x14ac:dyDescent="0.25">
      <c r="A163" s="41">
        <f t="shared" si="2"/>
        <v>162</v>
      </c>
      <c r="B163" s="41" t="s">
        <v>163</v>
      </c>
      <c r="C163" s="41" t="s">
        <v>108</v>
      </c>
      <c r="D163" s="41" t="s">
        <v>896</v>
      </c>
      <c r="E163" s="41"/>
      <c r="F163" s="41" t="s">
        <v>198</v>
      </c>
      <c r="G163" s="41" t="s">
        <v>897</v>
      </c>
      <c r="H163" s="41" t="s">
        <v>169</v>
      </c>
      <c r="I163" s="41"/>
      <c r="J163" s="41">
        <v>1250</v>
      </c>
      <c r="K163" s="41"/>
      <c r="L163" s="41"/>
      <c r="M163" s="106">
        <v>1250</v>
      </c>
      <c r="N163" s="41"/>
      <c r="O163" s="37">
        <v>45909</v>
      </c>
      <c r="P163" s="41"/>
      <c r="Q163" s="41"/>
      <c r="R163" s="41"/>
      <c r="S163" s="41"/>
      <c r="T163" s="102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0"/>
    </row>
    <row r="164" spans="1:31" hidden="1" x14ac:dyDescent="0.25">
      <c r="A164" s="41">
        <f t="shared" si="2"/>
        <v>163</v>
      </c>
      <c r="B164" s="41" t="s">
        <v>163</v>
      </c>
      <c r="C164" s="41" t="s">
        <v>407</v>
      </c>
      <c r="D164" s="41" t="s">
        <v>408</v>
      </c>
      <c r="E164" s="43" t="s">
        <v>166</v>
      </c>
      <c r="F164" s="43" t="s">
        <v>181</v>
      </c>
      <c r="G164" s="41" t="s">
        <v>184</v>
      </c>
      <c r="H164" s="41"/>
      <c r="I164" s="41">
        <v>7000</v>
      </c>
      <c r="J164" s="45">
        <v>220</v>
      </c>
      <c r="K164" s="100">
        <v>1</v>
      </c>
      <c r="L164" s="51"/>
      <c r="M164" s="41"/>
      <c r="N164" s="103"/>
      <c r="O164" s="37"/>
      <c r="P164" s="41"/>
      <c r="Q164" s="41"/>
      <c r="R164" s="41"/>
      <c r="S164" s="41"/>
      <c r="T164" s="102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0"/>
    </row>
    <row r="165" spans="1:31" ht="14.45" hidden="1" customHeight="1" x14ac:dyDescent="0.25">
      <c r="A165" s="41">
        <f t="shared" si="2"/>
        <v>164</v>
      </c>
      <c r="B165" s="41" t="s">
        <v>163</v>
      </c>
      <c r="C165" s="41" t="s">
        <v>407</v>
      </c>
      <c r="D165" s="41" t="s">
        <v>409</v>
      </c>
      <c r="E165" s="43" t="s">
        <v>166</v>
      </c>
      <c r="F165" s="43" t="s">
        <v>215</v>
      </c>
      <c r="G165" s="41" t="s">
        <v>410</v>
      </c>
      <c r="H165" s="41"/>
      <c r="I165" s="41">
        <v>60000</v>
      </c>
      <c r="J165" s="41">
        <v>1200</v>
      </c>
      <c r="K165" s="100">
        <v>0.5</v>
      </c>
      <c r="L165" s="51"/>
      <c r="M165" s="41"/>
      <c r="N165" s="103"/>
      <c r="O165" s="37"/>
      <c r="P165" s="41"/>
      <c r="Q165" s="41"/>
      <c r="R165" s="41"/>
      <c r="S165" s="41"/>
      <c r="T165" s="102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121" t="s">
        <v>1037</v>
      </c>
    </row>
    <row r="166" spans="1:31" hidden="1" x14ac:dyDescent="0.25">
      <c r="A166" s="41">
        <f t="shared" si="2"/>
        <v>165</v>
      </c>
      <c r="B166" s="41" t="s">
        <v>163</v>
      </c>
      <c r="C166" s="41" t="s">
        <v>19</v>
      </c>
      <c r="D166" s="41" t="s">
        <v>411</v>
      </c>
      <c r="E166" s="43" t="s">
        <v>166</v>
      </c>
      <c r="F166" s="43" t="s">
        <v>275</v>
      </c>
      <c r="G166" s="41" t="s">
        <v>412</v>
      </c>
      <c r="H166" s="43" t="s">
        <v>169</v>
      </c>
      <c r="I166" s="41">
        <v>30000</v>
      </c>
      <c r="J166" s="45">
        <v>350</v>
      </c>
      <c r="K166" s="100">
        <v>0.55000000000000004</v>
      </c>
      <c r="L166" s="51">
        <v>88</v>
      </c>
      <c r="M166" s="41"/>
      <c r="N166" s="103"/>
      <c r="O166" s="37"/>
      <c r="P166" s="41"/>
      <c r="Q166" s="41"/>
      <c r="R166" s="41"/>
      <c r="S166" s="41"/>
      <c r="T166" s="102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0"/>
    </row>
    <row r="167" spans="1:31" hidden="1" x14ac:dyDescent="0.25">
      <c r="A167" s="41">
        <f t="shared" si="2"/>
        <v>166</v>
      </c>
      <c r="B167" s="41" t="s">
        <v>163</v>
      </c>
      <c r="C167" s="41" t="s">
        <v>19</v>
      </c>
      <c r="D167" s="41" t="s">
        <v>413</v>
      </c>
      <c r="E167" s="43" t="s">
        <v>166</v>
      </c>
      <c r="F167" s="43" t="s">
        <v>275</v>
      </c>
      <c r="G167" s="41" t="s">
        <v>414</v>
      </c>
      <c r="H167" s="43" t="s">
        <v>169</v>
      </c>
      <c r="I167" s="41">
        <v>12000</v>
      </c>
      <c r="J167" s="41">
        <v>180</v>
      </c>
      <c r="K167" s="100">
        <v>0.9</v>
      </c>
      <c r="L167" s="51">
        <v>70</v>
      </c>
      <c r="M167" s="41"/>
      <c r="N167" s="103"/>
      <c r="O167" s="37"/>
      <c r="P167" s="41"/>
      <c r="Q167" s="41"/>
      <c r="R167" s="41"/>
      <c r="S167" s="41"/>
      <c r="T167" s="102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0"/>
    </row>
    <row r="168" spans="1:31" hidden="1" x14ac:dyDescent="0.25">
      <c r="A168" s="41">
        <f t="shared" si="2"/>
        <v>167</v>
      </c>
      <c r="B168" s="41" t="s">
        <v>163</v>
      </c>
      <c r="C168" s="41" t="s">
        <v>19</v>
      </c>
      <c r="D168" s="41" t="s">
        <v>415</v>
      </c>
      <c r="E168" s="43" t="s">
        <v>166</v>
      </c>
      <c r="F168" s="43" t="s">
        <v>416</v>
      </c>
      <c r="G168" s="41" t="s">
        <v>417</v>
      </c>
      <c r="H168" s="43" t="s">
        <v>169</v>
      </c>
      <c r="I168" s="41"/>
      <c r="J168" s="41"/>
      <c r="K168" s="100"/>
      <c r="L168" s="51"/>
      <c r="M168" s="41"/>
      <c r="N168" s="103"/>
      <c r="O168" s="37"/>
      <c r="P168" s="41"/>
      <c r="Q168" s="41"/>
      <c r="R168" s="41"/>
      <c r="S168" s="41"/>
      <c r="T168" s="102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0"/>
    </row>
    <row r="169" spans="1:31" hidden="1" x14ac:dyDescent="0.25">
      <c r="A169" s="41">
        <f t="shared" si="2"/>
        <v>168</v>
      </c>
      <c r="B169" s="41" t="s">
        <v>163</v>
      </c>
      <c r="C169" s="41" t="s">
        <v>16</v>
      </c>
      <c r="D169" s="42" t="s">
        <v>418</v>
      </c>
      <c r="E169" s="43" t="s">
        <v>166</v>
      </c>
      <c r="F169" s="43" t="s">
        <v>167</v>
      </c>
      <c r="G169" s="41" t="s">
        <v>419</v>
      </c>
      <c r="H169" s="41" t="s">
        <v>248</v>
      </c>
      <c r="I169" s="44">
        <v>162035</v>
      </c>
      <c r="J169" s="41">
        <v>2497</v>
      </c>
      <c r="K169" s="100"/>
      <c r="L169" s="51"/>
      <c r="M169" s="106">
        <v>83</v>
      </c>
      <c r="N169" s="103"/>
      <c r="O169" s="37">
        <v>45881</v>
      </c>
      <c r="P169" s="41"/>
      <c r="Q169" s="41" t="s">
        <v>881</v>
      </c>
      <c r="R169" s="41">
        <v>38</v>
      </c>
      <c r="S169" s="41">
        <v>37</v>
      </c>
      <c r="T169" s="102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0"/>
    </row>
    <row r="170" spans="1:31" hidden="1" x14ac:dyDescent="0.25">
      <c r="A170" s="41">
        <f t="shared" si="2"/>
        <v>169</v>
      </c>
      <c r="B170" s="41" t="s">
        <v>163</v>
      </c>
      <c r="C170" s="41" t="s">
        <v>16</v>
      </c>
      <c r="D170" s="42" t="s">
        <v>420</v>
      </c>
      <c r="E170" s="43" t="s">
        <v>166</v>
      </c>
      <c r="F170" s="43" t="s">
        <v>167</v>
      </c>
      <c r="G170" s="41" t="s">
        <v>419</v>
      </c>
      <c r="H170" s="41" t="s">
        <v>169</v>
      </c>
      <c r="I170" s="44">
        <v>19275</v>
      </c>
      <c r="J170" s="41">
        <v>353</v>
      </c>
      <c r="K170" s="100"/>
      <c r="L170" s="51"/>
      <c r="M170" s="106">
        <v>353</v>
      </c>
      <c r="N170" s="103"/>
      <c r="O170" s="37">
        <v>45881</v>
      </c>
      <c r="P170" s="41"/>
      <c r="Q170" s="41" t="s">
        <v>908</v>
      </c>
      <c r="R170" s="41">
        <v>353</v>
      </c>
      <c r="S170" s="41"/>
      <c r="T170" s="102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0"/>
    </row>
    <row r="171" spans="1:31" hidden="1" x14ac:dyDescent="0.25">
      <c r="A171" s="41">
        <f t="shared" si="2"/>
        <v>170</v>
      </c>
      <c r="B171" s="41" t="s">
        <v>163</v>
      </c>
      <c r="C171" s="41" t="s">
        <v>16</v>
      </c>
      <c r="D171" s="42" t="s">
        <v>421</v>
      </c>
      <c r="E171" s="43" t="s">
        <v>166</v>
      </c>
      <c r="F171" s="43" t="s">
        <v>215</v>
      </c>
      <c r="G171" s="41" t="s">
        <v>422</v>
      </c>
      <c r="H171" s="41" t="s">
        <v>169</v>
      </c>
      <c r="I171" s="44">
        <v>83270</v>
      </c>
      <c r="J171" s="45">
        <v>952</v>
      </c>
      <c r="K171" s="100"/>
      <c r="L171" s="51"/>
      <c r="M171" s="106">
        <v>883</v>
      </c>
      <c r="N171" s="103"/>
      <c r="O171" s="37">
        <v>45881</v>
      </c>
      <c r="P171" s="41"/>
      <c r="Q171" s="41">
        <v>23</v>
      </c>
      <c r="R171" s="41">
        <v>860</v>
      </c>
      <c r="S171" s="41"/>
      <c r="T171" s="102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0"/>
    </row>
    <row r="172" spans="1:31" x14ac:dyDescent="0.25">
      <c r="A172" s="41">
        <f t="shared" si="2"/>
        <v>171</v>
      </c>
      <c r="B172" s="41" t="s">
        <v>163</v>
      </c>
      <c r="C172" s="41" t="s">
        <v>16</v>
      </c>
      <c r="D172" s="42" t="s">
        <v>423</v>
      </c>
      <c r="E172" s="43" t="s">
        <v>166</v>
      </c>
      <c r="F172" s="43" t="s">
        <v>198</v>
      </c>
      <c r="G172" s="41" t="s">
        <v>224</v>
      </c>
      <c r="H172" s="41" t="s">
        <v>169</v>
      </c>
      <c r="I172" s="44">
        <v>16985</v>
      </c>
      <c r="J172" s="41">
        <v>238</v>
      </c>
      <c r="K172" s="100">
        <v>0.96</v>
      </c>
      <c r="L172" s="51"/>
      <c r="M172" s="106">
        <v>7</v>
      </c>
      <c r="N172" s="103"/>
      <c r="O172" s="37">
        <v>45881</v>
      </c>
      <c r="P172" s="41"/>
      <c r="Q172" s="41"/>
      <c r="R172" s="41">
        <v>7</v>
      </c>
      <c r="S172" s="41"/>
      <c r="T172" s="102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0"/>
    </row>
    <row r="173" spans="1:31" hidden="1" x14ac:dyDescent="0.25">
      <c r="A173" s="41">
        <f t="shared" si="2"/>
        <v>172</v>
      </c>
      <c r="B173" s="41" t="s">
        <v>163</v>
      </c>
      <c r="C173" s="41" t="s">
        <v>16</v>
      </c>
      <c r="D173" s="42" t="s">
        <v>424</v>
      </c>
      <c r="E173" s="43" t="s">
        <v>166</v>
      </c>
      <c r="F173" s="43" t="s">
        <v>176</v>
      </c>
      <c r="G173" s="41" t="s">
        <v>284</v>
      </c>
      <c r="H173" s="41" t="s">
        <v>169</v>
      </c>
      <c r="I173" s="44">
        <v>122838</v>
      </c>
      <c r="J173" s="41">
        <v>1576</v>
      </c>
      <c r="K173" s="100"/>
      <c r="L173" s="51"/>
      <c r="M173" s="106">
        <v>476</v>
      </c>
      <c r="N173" s="103"/>
      <c r="O173" s="37">
        <v>45881</v>
      </c>
      <c r="P173" s="41"/>
      <c r="Q173" s="41"/>
      <c r="R173" s="41">
        <v>476</v>
      </c>
      <c r="S173" s="41"/>
      <c r="T173" s="102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0"/>
    </row>
    <row r="174" spans="1:31" x14ac:dyDescent="0.25">
      <c r="A174" s="41">
        <f t="shared" si="2"/>
        <v>173</v>
      </c>
      <c r="B174" s="41" t="s">
        <v>163</v>
      </c>
      <c r="C174" s="41" t="s">
        <v>16</v>
      </c>
      <c r="D174" s="42" t="s">
        <v>425</v>
      </c>
      <c r="E174" s="43" t="s">
        <v>166</v>
      </c>
      <c r="F174" s="43" t="s">
        <v>167</v>
      </c>
      <c r="G174" s="41" t="s">
        <v>419</v>
      </c>
      <c r="H174" s="41" t="s">
        <v>169</v>
      </c>
      <c r="I174" s="44">
        <v>21412</v>
      </c>
      <c r="J174" s="41">
        <v>275</v>
      </c>
      <c r="K174" s="100"/>
      <c r="L174" s="51"/>
      <c r="M174" s="109">
        <v>0</v>
      </c>
      <c r="N174" s="103"/>
      <c r="O174" s="37">
        <v>45881</v>
      </c>
      <c r="P174" s="41"/>
      <c r="Q174" s="41"/>
      <c r="R174" s="41"/>
      <c r="S174" s="41"/>
      <c r="T174" s="102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0"/>
    </row>
    <row r="175" spans="1:31" hidden="1" x14ac:dyDescent="0.25">
      <c r="A175" s="41">
        <f t="shared" si="2"/>
        <v>174</v>
      </c>
      <c r="B175" s="41" t="s">
        <v>163</v>
      </c>
      <c r="C175" s="41" t="s">
        <v>16</v>
      </c>
      <c r="D175" s="42" t="s">
        <v>426</v>
      </c>
      <c r="E175" s="43" t="s">
        <v>166</v>
      </c>
      <c r="F175" s="43" t="s">
        <v>198</v>
      </c>
      <c r="G175" s="41" t="s">
        <v>224</v>
      </c>
      <c r="H175" s="41" t="s">
        <v>169</v>
      </c>
      <c r="I175" s="44">
        <v>20432</v>
      </c>
      <c r="J175" s="41">
        <v>300</v>
      </c>
      <c r="K175" s="100">
        <v>0.6</v>
      </c>
      <c r="L175" s="51"/>
      <c r="M175" s="106">
        <v>137</v>
      </c>
      <c r="N175" s="103"/>
      <c r="O175" s="37">
        <v>45881</v>
      </c>
      <c r="P175" s="41"/>
      <c r="Q175" s="41"/>
      <c r="R175" s="41">
        <v>113</v>
      </c>
      <c r="S175" s="41">
        <v>24</v>
      </c>
      <c r="T175" s="102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0"/>
    </row>
    <row r="176" spans="1:31" hidden="1" x14ac:dyDescent="0.25">
      <c r="A176" s="41">
        <f t="shared" si="2"/>
        <v>175</v>
      </c>
      <c r="B176" s="41" t="s">
        <v>163</v>
      </c>
      <c r="C176" s="41" t="s">
        <v>16</v>
      </c>
      <c r="D176" s="42" t="s">
        <v>427</v>
      </c>
      <c r="E176" s="43" t="s">
        <v>166</v>
      </c>
      <c r="F176" s="43" t="s">
        <v>208</v>
      </c>
      <c r="G176" s="41" t="s">
        <v>428</v>
      </c>
      <c r="H176" s="41" t="s">
        <v>169</v>
      </c>
      <c r="I176" s="44">
        <v>32761</v>
      </c>
      <c r="J176" s="41">
        <v>387</v>
      </c>
      <c r="K176" s="100"/>
      <c r="L176" s="51"/>
      <c r="M176" s="106">
        <v>162</v>
      </c>
      <c r="N176" s="103"/>
      <c r="O176" s="37">
        <v>45881</v>
      </c>
      <c r="P176" s="41"/>
      <c r="Q176" s="41"/>
      <c r="R176" s="41">
        <v>162</v>
      </c>
      <c r="S176" s="41"/>
      <c r="T176" s="102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0"/>
    </row>
    <row r="177" spans="1:31" hidden="1" x14ac:dyDescent="0.25">
      <c r="A177" s="41">
        <f t="shared" si="2"/>
        <v>176</v>
      </c>
      <c r="B177" s="41" t="s">
        <v>163</v>
      </c>
      <c r="C177" s="41" t="s">
        <v>16</v>
      </c>
      <c r="D177" s="42" t="s">
        <v>429</v>
      </c>
      <c r="E177" s="43" t="s">
        <v>166</v>
      </c>
      <c r="F177" s="43" t="s">
        <v>167</v>
      </c>
      <c r="G177" s="41" t="s">
        <v>419</v>
      </c>
      <c r="H177" s="41" t="s">
        <v>169</v>
      </c>
      <c r="I177" s="44">
        <v>37855</v>
      </c>
      <c r="J177" s="41">
        <v>493</v>
      </c>
      <c r="K177" s="100"/>
      <c r="L177" s="51"/>
      <c r="M177" s="106">
        <v>57</v>
      </c>
      <c r="N177" s="103"/>
      <c r="O177" s="37">
        <v>45881</v>
      </c>
      <c r="P177" s="41"/>
      <c r="Q177" s="41" t="s">
        <v>909</v>
      </c>
      <c r="R177" s="41">
        <v>24</v>
      </c>
      <c r="S177" s="41">
        <v>33</v>
      </c>
      <c r="T177" s="102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0"/>
    </row>
    <row r="178" spans="1:31" hidden="1" x14ac:dyDescent="0.25">
      <c r="A178" s="41">
        <f t="shared" si="2"/>
        <v>177</v>
      </c>
      <c r="B178" s="41" t="s">
        <v>163</v>
      </c>
      <c r="C178" s="41" t="s">
        <v>16</v>
      </c>
      <c r="D178" s="42" t="s">
        <v>430</v>
      </c>
      <c r="E178" s="43" t="s">
        <v>166</v>
      </c>
      <c r="F178" s="43" t="s">
        <v>167</v>
      </c>
      <c r="G178" s="41" t="s">
        <v>419</v>
      </c>
      <c r="H178" s="41" t="s">
        <v>169</v>
      </c>
      <c r="I178" s="44">
        <v>46669</v>
      </c>
      <c r="J178" s="41">
        <v>656</v>
      </c>
      <c r="K178" s="100"/>
      <c r="L178" s="51"/>
      <c r="M178" s="106">
        <v>384</v>
      </c>
      <c r="N178" s="103"/>
      <c r="O178" s="37">
        <v>45881</v>
      </c>
      <c r="P178" s="41"/>
      <c r="Q178" s="41"/>
      <c r="R178" s="41"/>
      <c r="S178" s="41">
        <v>171</v>
      </c>
      <c r="T178" s="102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0"/>
    </row>
    <row r="179" spans="1:31" hidden="1" x14ac:dyDescent="0.25">
      <c r="A179" s="41">
        <f t="shared" si="2"/>
        <v>178</v>
      </c>
      <c r="B179" s="41" t="s">
        <v>163</v>
      </c>
      <c r="C179" s="41" t="s">
        <v>16</v>
      </c>
      <c r="D179" s="42" t="s">
        <v>431</v>
      </c>
      <c r="E179" s="43" t="s">
        <v>166</v>
      </c>
      <c r="F179" s="43" t="s">
        <v>198</v>
      </c>
      <c r="G179" s="41" t="s">
        <v>224</v>
      </c>
      <c r="H179" s="41" t="s">
        <v>169</v>
      </c>
      <c r="I179" s="44">
        <v>24571</v>
      </c>
      <c r="J179" s="41">
        <v>365</v>
      </c>
      <c r="K179" s="100" t="s">
        <v>432</v>
      </c>
      <c r="L179" s="51"/>
      <c r="M179" s="106">
        <v>273</v>
      </c>
      <c r="N179" s="103"/>
      <c r="O179" s="37">
        <v>45881</v>
      </c>
      <c r="P179" s="41"/>
      <c r="Q179" s="41"/>
      <c r="R179" s="41">
        <v>273</v>
      </c>
      <c r="S179" s="41"/>
      <c r="T179" s="102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0"/>
    </row>
    <row r="180" spans="1:31" x14ac:dyDescent="0.25">
      <c r="A180" s="41">
        <f t="shared" si="2"/>
        <v>179</v>
      </c>
      <c r="B180" s="41" t="s">
        <v>163</v>
      </c>
      <c r="C180" s="41" t="s">
        <v>55</v>
      </c>
      <c r="D180" s="42" t="s">
        <v>433</v>
      </c>
      <c r="E180" s="43" t="s">
        <v>171</v>
      </c>
      <c r="F180" s="41" t="s">
        <v>172</v>
      </c>
      <c r="G180" s="41" t="s">
        <v>434</v>
      </c>
      <c r="H180" s="41" t="s">
        <v>169</v>
      </c>
      <c r="I180" s="44">
        <v>24000</v>
      </c>
      <c r="J180" s="41">
        <v>300</v>
      </c>
      <c r="K180" s="100">
        <v>0.8</v>
      </c>
      <c r="L180" s="51">
        <v>30</v>
      </c>
      <c r="M180" s="109">
        <v>0</v>
      </c>
      <c r="N180" s="103"/>
      <c r="O180" s="37">
        <v>45897</v>
      </c>
      <c r="P180" s="41"/>
      <c r="Q180" s="41"/>
      <c r="R180" s="41"/>
      <c r="S180" s="41"/>
      <c r="T180" s="102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0"/>
    </row>
    <row r="181" spans="1:31" hidden="1" x14ac:dyDescent="0.25">
      <c r="A181" s="41">
        <f t="shared" si="2"/>
        <v>180</v>
      </c>
      <c r="B181" s="41" t="s">
        <v>163</v>
      </c>
      <c r="C181" s="41" t="s">
        <v>55</v>
      </c>
      <c r="D181" s="42" t="s">
        <v>435</v>
      </c>
      <c r="E181" s="43" t="s">
        <v>171</v>
      </c>
      <c r="F181" s="43" t="s">
        <v>176</v>
      </c>
      <c r="G181" s="41" t="s">
        <v>436</v>
      </c>
      <c r="H181" s="41" t="s">
        <v>169</v>
      </c>
      <c r="I181" s="44">
        <v>69062</v>
      </c>
      <c r="J181" s="41">
        <v>1400</v>
      </c>
      <c r="K181" s="100">
        <v>0.35</v>
      </c>
      <c r="L181" s="51">
        <v>30</v>
      </c>
      <c r="M181" s="106" t="s">
        <v>1047</v>
      </c>
      <c r="N181" s="103"/>
      <c r="O181" s="37">
        <v>45897</v>
      </c>
      <c r="P181" s="41"/>
      <c r="Q181" s="41" t="s">
        <v>1048</v>
      </c>
      <c r="R181" s="41"/>
      <c r="S181" s="41"/>
      <c r="T181" s="102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0"/>
    </row>
    <row r="182" spans="1:31" hidden="1" x14ac:dyDescent="0.25">
      <c r="A182" s="41">
        <f t="shared" si="2"/>
        <v>181</v>
      </c>
      <c r="B182" s="41" t="s">
        <v>163</v>
      </c>
      <c r="C182" s="41" t="s">
        <v>437</v>
      </c>
      <c r="D182" s="42" t="s">
        <v>438</v>
      </c>
      <c r="E182" s="43" t="s">
        <v>166</v>
      </c>
      <c r="F182" s="43" t="s">
        <v>176</v>
      </c>
      <c r="G182" s="41" t="s">
        <v>439</v>
      </c>
      <c r="H182" s="41" t="s">
        <v>169</v>
      </c>
      <c r="I182" s="44">
        <v>36000</v>
      </c>
      <c r="J182" s="41">
        <v>400</v>
      </c>
      <c r="K182" s="100">
        <v>1</v>
      </c>
      <c r="L182" s="51"/>
      <c r="M182" s="41"/>
      <c r="N182" s="103"/>
      <c r="O182" s="37"/>
      <c r="P182" s="41"/>
      <c r="Q182" s="41"/>
      <c r="R182" s="41"/>
      <c r="S182" s="41"/>
      <c r="T182" s="102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0"/>
    </row>
    <row r="183" spans="1:31" hidden="1" x14ac:dyDescent="0.25">
      <c r="A183" s="41">
        <f t="shared" si="2"/>
        <v>182</v>
      </c>
      <c r="B183" s="41" t="s">
        <v>163</v>
      </c>
      <c r="C183" s="41" t="s">
        <v>440</v>
      </c>
      <c r="D183" s="41" t="s">
        <v>441</v>
      </c>
      <c r="E183" s="43" t="s">
        <v>166</v>
      </c>
      <c r="F183" s="43" t="s">
        <v>198</v>
      </c>
      <c r="G183" s="41" t="s">
        <v>272</v>
      </c>
      <c r="H183" s="41" t="s">
        <v>169</v>
      </c>
      <c r="I183" s="44">
        <v>30000</v>
      </c>
      <c r="J183" s="41">
        <v>857</v>
      </c>
      <c r="K183" s="100">
        <v>0.7</v>
      </c>
      <c r="L183" s="51">
        <v>35</v>
      </c>
      <c r="M183" s="106">
        <v>110</v>
      </c>
      <c r="N183" s="103"/>
      <c r="O183" s="101" t="s">
        <v>851</v>
      </c>
      <c r="P183" s="41"/>
      <c r="Q183" s="41" t="s">
        <v>878</v>
      </c>
      <c r="R183" s="41"/>
      <c r="S183" s="41"/>
      <c r="T183" s="107">
        <v>8500</v>
      </c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0"/>
    </row>
    <row r="184" spans="1:31" hidden="1" x14ac:dyDescent="0.25">
      <c r="A184" s="41">
        <f t="shared" si="2"/>
        <v>183</v>
      </c>
      <c r="B184" s="41" t="s">
        <v>163</v>
      </c>
      <c r="C184" s="41" t="s">
        <v>440</v>
      </c>
      <c r="D184" s="41" t="s">
        <v>442</v>
      </c>
      <c r="E184" s="43" t="s">
        <v>166</v>
      </c>
      <c r="F184" s="43" t="s">
        <v>198</v>
      </c>
      <c r="G184" s="41" t="s">
        <v>272</v>
      </c>
      <c r="H184" s="41" t="s">
        <v>169</v>
      </c>
      <c r="I184" s="44">
        <v>79800</v>
      </c>
      <c r="J184" s="41">
        <v>2280</v>
      </c>
      <c r="K184" s="100">
        <v>0.75</v>
      </c>
      <c r="L184" s="51">
        <v>35</v>
      </c>
      <c r="M184" s="106">
        <v>400</v>
      </c>
      <c r="N184" s="103"/>
      <c r="O184" s="101" t="s">
        <v>851</v>
      </c>
      <c r="P184" s="41"/>
      <c r="Q184" s="41" t="s">
        <v>881</v>
      </c>
      <c r="R184" s="41"/>
      <c r="S184" s="41"/>
      <c r="T184" s="107">
        <v>8500</v>
      </c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0"/>
    </row>
    <row r="185" spans="1:31" hidden="1" x14ac:dyDescent="0.25">
      <c r="A185" s="41">
        <f t="shared" si="2"/>
        <v>184</v>
      </c>
      <c r="B185" s="41" t="s">
        <v>163</v>
      </c>
      <c r="C185" s="41" t="s">
        <v>440</v>
      </c>
      <c r="D185" s="41" t="s">
        <v>443</v>
      </c>
      <c r="E185" s="43" t="s">
        <v>166</v>
      </c>
      <c r="F185" s="43" t="s">
        <v>388</v>
      </c>
      <c r="G185" s="41" t="s">
        <v>209</v>
      </c>
      <c r="H185" s="41" t="s">
        <v>169</v>
      </c>
      <c r="I185" s="44">
        <v>58500</v>
      </c>
      <c r="J185" s="41">
        <v>1671</v>
      </c>
      <c r="K185" s="100">
        <v>0.46</v>
      </c>
      <c r="L185" s="51">
        <v>35</v>
      </c>
      <c r="M185" s="106">
        <v>300</v>
      </c>
      <c r="N185" s="103"/>
      <c r="O185" s="101" t="s">
        <v>851</v>
      </c>
      <c r="P185" s="41"/>
      <c r="Q185" s="41" t="s">
        <v>879</v>
      </c>
      <c r="R185" s="41"/>
      <c r="S185" s="41"/>
      <c r="T185" s="107">
        <v>10499</v>
      </c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0"/>
    </row>
    <row r="186" spans="1:31" hidden="1" x14ac:dyDescent="0.25">
      <c r="A186" s="41">
        <f t="shared" si="2"/>
        <v>185</v>
      </c>
      <c r="B186" s="41" t="s">
        <v>163</v>
      </c>
      <c r="C186" s="41" t="s">
        <v>440</v>
      </c>
      <c r="D186" s="41" t="s">
        <v>444</v>
      </c>
      <c r="E186" s="43" t="s">
        <v>166</v>
      </c>
      <c r="F186" s="43" t="s">
        <v>388</v>
      </c>
      <c r="G186" s="41" t="s">
        <v>209</v>
      </c>
      <c r="H186" s="41" t="s">
        <v>248</v>
      </c>
      <c r="I186" s="44">
        <v>9000</v>
      </c>
      <c r="J186" s="41">
        <v>257</v>
      </c>
      <c r="K186" s="100">
        <v>0.81</v>
      </c>
      <c r="L186" s="51">
        <v>35</v>
      </c>
      <c r="M186" s="106">
        <v>50</v>
      </c>
      <c r="N186" s="103"/>
      <c r="O186" s="101" t="s">
        <v>851</v>
      </c>
      <c r="P186" s="41"/>
      <c r="Q186" s="41" t="s">
        <v>878</v>
      </c>
      <c r="R186" s="41"/>
      <c r="S186" s="41"/>
      <c r="T186" s="107">
        <v>10499</v>
      </c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0"/>
    </row>
    <row r="187" spans="1:31" hidden="1" x14ac:dyDescent="0.25">
      <c r="A187" s="41">
        <f t="shared" si="2"/>
        <v>186</v>
      </c>
      <c r="B187" s="41" t="s">
        <v>163</v>
      </c>
      <c r="C187" s="41" t="s">
        <v>440</v>
      </c>
      <c r="D187" s="41" t="s">
        <v>445</v>
      </c>
      <c r="E187" s="43" t="s">
        <v>166</v>
      </c>
      <c r="F187" s="43" t="s">
        <v>388</v>
      </c>
      <c r="G187" s="41" t="s">
        <v>446</v>
      </c>
      <c r="H187" s="41" t="s">
        <v>169</v>
      </c>
      <c r="I187" s="44">
        <v>50000</v>
      </c>
      <c r="J187" s="41">
        <v>1429</v>
      </c>
      <c r="K187" s="100">
        <v>0.4</v>
      </c>
      <c r="L187" s="51">
        <v>35</v>
      </c>
      <c r="M187" s="106">
        <v>600</v>
      </c>
      <c r="N187" s="103"/>
      <c r="O187" s="41" t="s">
        <v>851</v>
      </c>
      <c r="P187" s="41"/>
      <c r="Q187" s="41" t="s">
        <v>880</v>
      </c>
      <c r="R187" s="41"/>
      <c r="S187" s="41"/>
      <c r="T187" s="107">
        <v>11000</v>
      </c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0"/>
    </row>
    <row r="188" spans="1:31" hidden="1" x14ac:dyDescent="0.25">
      <c r="A188" s="41">
        <f t="shared" si="2"/>
        <v>187</v>
      </c>
      <c r="B188" s="41" t="s">
        <v>163</v>
      </c>
      <c r="C188" s="41" t="s">
        <v>440</v>
      </c>
      <c r="D188" s="41" t="s">
        <v>447</v>
      </c>
      <c r="E188" s="43" t="s">
        <v>171</v>
      </c>
      <c r="F188" s="43" t="s">
        <v>192</v>
      </c>
      <c r="G188" s="41" t="s">
        <v>448</v>
      </c>
      <c r="H188" s="41" t="s">
        <v>169</v>
      </c>
      <c r="I188" s="44">
        <v>73500</v>
      </c>
      <c r="J188" s="41">
        <v>2100</v>
      </c>
      <c r="K188" s="100">
        <v>0.4</v>
      </c>
      <c r="L188" s="51">
        <v>35</v>
      </c>
      <c r="M188" s="106">
        <v>1500</v>
      </c>
      <c r="N188" s="103"/>
      <c r="O188" s="41" t="s">
        <v>851</v>
      </c>
      <c r="P188" s="41"/>
      <c r="Q188" s="41" t="s">
        <v>850</v>
      </c>
      <c r="R188" s="41"/>
      <c r="S188" s="41"/>
      <c r="T188" s="107">
        <v>5500</v>
      </c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0"/>
    </row>
    <row r="189" spans="1:31" hidden="1" x14ac:dyDescent="0.25">
      <c r="A189" s="41">
        <f t="shared" si="2"/>
        <v>188</v>
      </c>
      <c r="B189" s="41" t="s">
        <v>163</v>
      </c>
      <c r="C189" s="41" t="s">
        <v>440</v>
      </c>
      <c r="D189" s="41" t="s">
        <v>449</v>
      </c>
      <c r="E189" s="43" t="s">
        <v>166</v>
      </c>
      <c r="F189" s="43" t="s">
        <v>167</v>
      </c>
      <c r="G189" s="41" t="s">
        <v>450</v>
      </c>
      <c r="H189" s="41" t="s">
        <v>248</v>
      </c>
      <c r="I189" s="44">
        <v>120000</v>
      </c>
      <c r="J189" s="41">
        <v>3429</v>
      </c>
      <c r="K189" s="100">
        <v>0.75</v>
      </c>
      <c r="L189" s="51">
        <v>35</v>
      </c>
      <c r="M189" s="106">
        <v>1000</v>
      </c>
      <c r="N189" s="103"/>
      <c r="O189" s="41" t="s">
        <v>851</v>
      </c>
      <c r="P189" s="41"/>
      <c r="Q189" s="41" t="s">
        <v>879</v>
      </c>
      <c r="R189" s="41"/>
      <c r="S189" s="41"/>
      <c r="T189" s="107">
        <v>9000</v>
      </c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0"/>
    </row>
    <row r="190" spans="1:31" hidden="1" x14ac:dyDescent="0.25">
      <c r="A190" s="41">
        <f t="shared" si="2"/>
        <v>189</v>
      </c>
      <c r="B190" s="41" t="s">
        <v>163</v>
      </c>
      <c r="C190" s="41" t="s">
        <v>440</v>
      </c>
      <c r="D190" s="41" t="s">
        <v>451</v>
      </c>
      <c r="E190" s="43" t="s">
        <v>171</v>
      </c>
      <c r="F190" s="41" t="s">
        <v>172</v>
      </c>
      <c r="G190" s="41" t="s">
        <v>172</v>
      </c>
      <c r="H190" s="41" t="s">
        <v>169</v>
      </c>
      <c r="I190" s="44">
        <v>32000</v>
      </c>
      <c r="J190" s="41">
        <v>914</v>
      </c>
      <c r="K190" s="100">
        <v>0.25</v>
      </c>
      <c r="L190" s="51">
        <v>35</v>
      </c>
      <c r="M190" s="106">
        <v>685</v>
      </c>
      <c r="N190" s="103"/>
      <c r="O190" s="41" t="s">
        <v>851</v>
      </c>
      <c r="P190" s="41"/>
      <c r="Q190" s="41" t="s">
        <v>883</v>
      </c>
      <c r="R190" s="41"/>
      <c r="S190" s="41"/>
      <c r="T190" s="107">
        <v>6999</v>
      </c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0"/>
    </row>
    <row r="191" spans="1:31" hidden="1" x14ac:dyDescent="0.25">
      <c r="A191" s="41">
        <f t="shared" si="2"/>
        <v>190</v>
      </c>
      <c r="B191" s="41" t="s">
        <v>163</v>
      </c>
      <c r="C191" s="41" t="s">
        <v>440</v>
      </c>
      <c r="D191" s="41" t="s">
        <v>452</v>
      </c>
      <c r="E191" s="43" t="s">
        <v>171</v>
      </c>
      <c r="F191" s="41" t="s">
        <v>172</v>
      </c>
      <c r="G191" s="41" t="s">
        <v>172</v>
      </c>
      <c r="H191" s="41" t="s">
        <v>169</v>
      </c>
      <c r="I191" s="44">
        <v>40000</v>
      </c>
      <c r="J191" s="41">
        <v>1143</v>
      </c>
      <c r="K191" s="100">
        <v>0.4</v>
      </c>
      <c r="L191" s="51">
        <v>35</v>
      </c>
      <c r="M191" s="106">
        <v>685</v>
      </c>
      <c r="N191" s="103"/>
      <c r="O191" s="41" t="s">
        <v>851</v>
      </c>
      <c r="P191" s="41"/>
      <c r="Q191" s="41" t="s">
        <v>884</v>
      </c>
      <c r="R191" s="41"/>
      <c r="S191" s="41"/>
      <c r="T191" s="107">
        <v>6999</v>
      </c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0"/>
    </row>
    <row r="192" spans="1:31" hidden="1" x14ac:dyDescent="0.25">
      <c r="A192" s="41">
        <f t="shared" si="2"/>
        <v>191</v>
      </c>
      <c r="B192" s="41" t="s">
        <v>163</v>
      </c>
      <c r="C192" s="41" t="s">
        <v>440</v>
      </c>
      <c r="D192" s="41" t="s">
        <v>453</v>
      </c>
      <c r="E192" s="43" t="s">
        <v>171</v>
      </c>
      <c r="F192" s="41" t="s">
        <v>172</v>
      </c>
      <c r="G192" s="41" t="s">
        <v>172</v>
      </c>
      <c r="H192" s="41" t="s">
        <v>169</v>
      </c>
      <c r="I192" s="44">
        <v>17600</v>
      </c>
      <c r="J192" s="41">
        <v>503</v>
      </c>
      <c r="K192" s="100">
        <v>0.75</v>
      </c>
      <c r="L192" s="51">
        <v>35</v>
      </c>
      <c r="M192" s="106">
        <v>125</v>
      </c>
      <c r="N192" s="103"/>
      <c r="O192" s="41" t="s">
        <v>851</v>
      </c>
      <c r="P192" s="41"/>
      <c r="Q192" s="41" t="s">
        <v>882</v>
      </c>
      <c r="R192" s="41"/>
      <c r="S192" s="41"/>
      <c r="T192" s="107">
        <v>6499</v>
      </c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0"/>
    </row>
    <row r="193" spans="1:31" hidden="1" x14ac:dyDescent="0.25">
      <c r="A193" s="41">
        <f t="shared" si="2"/>
        <v>192</v>
      </c>
      <c r="B193" s="41" t="s">
        <v>163</v>
      </c>
      <c r="C193" s="41" t="s">
        <v>440</v>
      </c>
      <c r="D193" s="41" t="s">
        <v>454</v>
      </c>
      <c r="E193" s="43" t="s">
        <v>171</v>
      </c>
      <c r="F193" s="41" t="s">
        <v>172</v>
      </c>
      <c r="G193" s="41" t="s">
        <v>172</v>
      </c>
      <c r="H193" s="41" t="s">
        <v>169</v>
      </c>
      <c r="I193" s="44">
        <v>14520</v>
      </c>
      <c r="J193" s="41">
        <v>415</v>
      </c>
      <c r="K193" s="100">
        <v>0.5</v>
      </c>
      <c r="L193" s="51">
        <v>35</v>
      </c>
      <c r="M193" s="106">
        <v>215</v>
      </c>
      <c r="N193" s="103"/>
      <c r="O193" s="41" t="s">
        <v>851</v>
      </c>
      <c r="P193" s="41"/>
      <c r="Q193" s="41" t="s">
        <v>850</v>
      </c>
      <c r="R193" s="41"/>
      <c r="S193" s="41"/>
      <c r="T193" s="107">
        <v>6499</v>
      </c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0"/>
    </row>
    <row r="194" spans="1:31" x14ac:dyDescent="0.25">
      <c r="A194" s="41">
        <f t="shared" si="2"/>
        <v>193</v>
      </c>
      <c r="B194" s="41" t="s">
        <v>163</v>
      </c>
      <c r="C194" s="41" t="s">
        <v>440</v>
      </c>
      <c r="D194" s="41" t="s">
        <v>455</v>
      </c>
      <c r="E194" s="43" t="s">
        <v>171</v>
      </c>
      <c r="F194" s="41" t="s">
        <v>172</v>
      </c>
      <c r="G194" s="41" t="s">
        <v>172</v>
      </c>
      <c r="H194" s="41" t="s">
        <v>169</v>
      </c>
      <c r="I194" s="44">
        <v>12000</v>
      </c>
      <c r="J194" s="41">
        <v>343</v>
      </c>
      <c r="K194" s="100">
        <v>0.5</v>
      </c>
      <c r="L194" s="51">
        <v>35</v>
      </c>
      <c r="M194" s="109">
        <v>0</v>
      </c>
      <c r="N194" s="103"/>
      <c r="O194" s="41" t="s">
        <v>851</v>
      </c>
      <c r="P194" s="41"/>
      <c r="Q194" s="41"/>
      <c r="R194" s="41"/>
      <c r="S194" s="41"/>
      <c r="T194" s="102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0"/>
    </row>
    <row r="195" spans="1:31" x14ac:dyDescent="0.25">
      <c r="A195" s="41">
        <f t="shared" si="2"/>
        <v>194</v>
      </c>
      <c r="B195" s="41" t="s">
        <v>163</v>
      </c>
      <c r="C195" s="41" t="s">
        <v>440</v>
      </c>
      <c r="D195" s="41" t="s">
        <v>456</v>
      </c>
      <c r="E195" s="43" t="s">
        <v>171</v>
      </c>
      <c r="F195" s="41" t="s">
        <v>172</v>
      </c>
      <c r="G195" s="41" t="s">
        <v>172</v>
      </c>
      <c r="H195" s="41" t="s">
        <v>169</v>
      </c>
      <c r="I195" s="44">
        <v>19500</v>
      </c>
      <c r="J195" s="41">
        <v>557</v>
      </c>
      <c r="K195" s="100">
        <v>1</v>
      </c>
      <c r="L195" s="51">
        <v>35</v>
      </c>
      <c r="M195" s="109">
        <v>0</v>
      </c>
      <c r="N195" s="103"/>
      <c r="O195" s="41" t="s">
        <v>851</v>
      </c>
      <c r="P195" s="41"/>
      <c r="Q195" s="41"/>
      <c r="R195" s="41"/>
      <c r="S195" s="41"/>
      <c r="T195" s="102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0"/>
    </row>
    <row r="196" spans="1:31" x14ac:dyDescent="0.25">
      <c r="A196" s="41">
        <f t="shared" ref="A196:A259" si="3">A195+1</f>
        <v>195</v>
      </c>
      <c r="B196" s="41" t="s">
        <v>163</v>
      </c>
      <c r="C196" s="41" t="s">
        <v>440</v>
      </c>
      <c r="D196" s="41" t="s">
        <v>457</v>
      </c>
      <c r="E196" s="43" t="s">
        <v>171</v>
      </c>
      <c r="F196" s="41" t="s">
        <v>172</v>
      </c>
      <c r="G196" s="41" t="s">
        <v>172</v>
      </c>
      <c r="H196" s="41" t="s">
        <v>169</v>
      </c>
      <c r="I196" s="44">
        <v>16500</v>
      </c>
      <c r="J196" s="41">
        <v>472</v>
      </c>
      <c r="K196" s="100">
        <v>1</v>
      </c>
      <c r="L196" s="51">
        <v>35</v>
      </c>
      <c r="M196" s="109">
        <v>0</v>
      </c>
      <c r="N196" s="103"/>
      <c r="O196" s="41" t="s">
        <v>851</v>
      </c>
      <c r="P196" s="41"/>
      <c r="Q196" s="41"/>
      <c r="R196" s="41"/>
      <c r="S196" s="41"/>
      <c r="T196" s="102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0"/>
    </row>
    <row r="197" spans="1:31" x14ac:dyDescent="0.25">
      <c r="A197" s="41">
        <f t="shared" si="3"/>
        <v>196</v>
      </c>
      <c r="B197" s="41" t="s">
        <v>163</v>
      </c>
      <c r="C197" s="41" t="s">
        <v>440</v>
      </c>
      <c r="D197" s="41" t="s">
        <v>458</v>
      </c>
      <c r="E197" s="43" t="s">
        <v>171</v>
      </c>
      <c r="F197" s="41" t="s">
        <v>172</v>
      </c>
      <c r="G197" s="41" t="s">
        <v>172</v>
      </c>
      <c r="H197" s="41" t="s">
        <v>169</v>
      </c>
      <c r="I197" s="44">
        <v>16500</v>
      </c>
      <c r="J197" s="41">
        <v>472</v>
      </c>
      <c r="K197" s="100">
        <v>1</v>
      </c>
      <c r="L197" s="51">
        <v>35</v>
      </c>
      <c r="M197" s="109">
        <v>0</v>
      </c>
      <c r="N197" s="103"/>
      <c r="O197" s="41" t="s">
        <v>851</v>
      </c>
      <c r="P197" s="41"/>
      <c r="Q197" s="41"/>
      <c r="R197" s="41"/>
      <c r="S197" s="41"/>
      <c r="T197" s="102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0"/>
    </row>
    <row r="198" spans="1:31" x14ac:dyDescent="0.25">
      <c r="A198" s="41">
        <f t="shared" si="3"/>
        <v>197</v>
      </c>
      <c r="B198" s="41" t="s">
        <v>163</v>
      </c>
      <c r="C198" s="41" t="s">
        <v>440</v>
      </c>
      <c r="D198" s="41" t="s">
        <v>459</v>
      </c>
      <c r="E198" s="43" t="s">
        <v>171</v>
      </c>
      <c r="F198" s="41" t="s">
        <v>172</v>
      </c>
      <c r="G198" s="41" t="s">
        <v>172</v>
      </c>
      <c r="H198" s="41" t="s">
        <v>169</v>
      </c>
      <c r="I198" s="44">
        <v>13200</v>
      </c>
      <c r="J198" s="41">
        <v>378</v>
      </c>
      <c r="K198" s="100">
        <v>1</v>
      </c>
      <c r="L198" s="51">
        <v>35</v>
      </c>
      <c r="M198" s="109">
        <v>0</v>
      </c>
      <c r="N198" s="103"/>
      <c r="O198" s="41" t="s">
        <v>851</v>
      </c>
      <c r="P198" s="41"/>
      <c r="Q198" s="41"/>
      <c r="R198" s="41"/>
      <c r="S198" s="41"/>
      <c r="T198" s="102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0"/>
    </row>
    <row r="199" spans="1:31" x14ac:dyDescent="0.25">
      <c r="A199" s="41">
        <f t="shared" si="3"/>
        <v>198</v>
      </c>
      <c r="B199" s="41" t="s">
        <v>163</v>
      </c>
      <c r="C199" s="41" t="s">
        <v>440</v>
      </c>
      <c r="D199" s="41" t="s">
        <v>454</v>
      </c>
      <c r="E199" s="43" t="s">
        <v>171</v>
      </c>
      <c r="F199" s="41" t="s">
        <v>172</v>
      </c>
      <c r="G199" s="41" t="s">
        <v>172</v>
      </c>
      <c r="H199" s="41" t="s">
        <v>169</v>
      </c>
      <c r="I199" s="44">
        <v>14190</v>
      </c>
      <c r="J199" s="41">
        <v>405</v>
      </c>
      <c r="K199" s="100">
        <v>1</v>
      </c>
      <c r="L199" s="51">
        <v>35</v>
      </c>
      <c r="M199" s="109">
        <v>0</v>
      </c>
      <c r="N199" s="103"/>
      <c r="O199" s="41" t="s">
        <v>851</v>
      </c>
      <c r="P199" s="41"/>
      <c r="Q199" s="41"/>
      <c r="R199" s="41"/>
      <c r="S199" s="41"/>
      <c r="T199" s="102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0"/>
    </row>
    <row r="200" spans="1:31" x14ac:dyDescent="0.25">
      <c r="A200" s="41">
        <f t="shared" si="3"/>
        <v>199</v>
      </c>
      <c r="B200" s="41" t="s">
        <v>163</v>
      </c>
      <c r="C200" s="41" t="s">
        <v>440</v>
      </c>
      <c r="D200" s="41" t="s">
        <v>460</v>
      </c>
      <c r="E200" s="43" t="s">
        <v>171</v>
      </c>
      <c r="F200" s="41" t="s">
        <v>172</v>
      </c>
      <c r="G200" s="41" t="s">
        <v>172</v>
      </c>
      <c r="H200" s="41" t="s">
        <v>169</v>
      </c>
      <c r="I200" s="44">
        <v>21000</v>
      </c>
      <c r="J200" s="41">
        <v>600</v>
      </c>
      <c r="K200" s="100">
        <v>1</v>
      </c>
      <c r="L200" s="51">
        <v>35</v>
      </c>
      <c r="M200" s="109">
        <v>0</v>
      </c>
      <c r="N200" s="103"/>
      <c r="O200" s="41" t="s">
        <v>851</v>
      </c>
      <c r="P200" s="41"/>
      <c r="Q200" s="41"/>
      <c r="R200" s="41"/>
      <c r="S200" s="41"/>
      <c r="T200" s="102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0"/>
    </row>
    <row r="201" spans="1:31" hidden="1" x14ac:dyDescent="0.25">
      <c r="A201" s="41">
        <f t="shared" si="3"/>
        <v>200</v>
      </c>
      <c r="B201" s="41" t="s">
        <v>163</v>
      </c>
      <c r="C201" s="41" t="s">
        <v>440</v>
      </c>
      <c r="D201" s="41" t="s">
        <v>461</v>
      </c>
      <c r="E201" s="43" t="s">
        <v>166</v>
      </c>
      <c r="F201" s="43" t="s">
        <v>192</v>
      </c>
      <c r="G201" s="41" t="s">
        <v>448</v>
      </c>
      <c r="H201" s="41" t="s">
        <v>169</v>
      </c>
      <c r="I201" s="44">
        <v>54000</v>
      </c>
      <c r="J201" s="41">
        <v>1542</v>
      </c>
      <c r="K201" s="100">
        <v>1</v>
      </c>
      <c r="L201" s="51">
        <v>35</v>
      </c>
      <c r="M201" s="106">
        <v>1500</v>
      </c>
      <c r="N201" s="103"/>
      <c r="O201" s="41" t="s">
        <v>851</v>
      </c>
      <c r="P201" s="41"/>
      <c r="Q201" s="41" t="s">
        <v>850</v>
      </c>
      <c r="R201" s="41"/>
      <c r="S201" s="41"/>
      <c r="T201" s="107">
        <v>5500</v>
      </c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0"/>
    </row>
    <row r="202" spans="1:31" x14ac:dyDescent="0.25">
      <c r="A202" s="41">
        <f t="shared" si="3"/>
        <v>201</v>
      </c>
      <c r="B202" s="41" t="s">
        <v>163</v>
      </c>
      <c r="C202" s="41" t="s">
        <v>440</v>
      </c>
      <c r="D202" s="41" t="s">
        <v>462</v>
      </c>
      <c r="E202" s="43" t="s">
        <v>171</v>
      </c>
      <c r="F202" s="43" t="s">
        <v>181</v>
      </c>
      <c r="G202" s="41" t="s">
        <v>184</v>
      </c>
      <c r="H202" s="41" t="s">
        <v>169</v>
      </c>
      <c r="I202" s="44">
        <v>29400</v>
      </c>
      <c r="J202" s="45">
        <v>840</v>
      </c>
      <c r="K202" s="100">
        <v>1</v>
      </c>
      <c r="L202" s="51">
        <v>35</v>
      </c>
      <c r="M202" s="109">
        <v>0</v>
      </c>
      <c r="N202" s="103"/>
      <c r="O202" s="41" t="s">
        <v>851</v>
      </c>
      <c r="P202" s="41"/>
      <c r="Q202" s="41"/>
      <c r="R202" s="41"/>
      <c r="S202" s="41"/>
      <c r="T202" s="102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0"/>
    </row>
    <row r="203" spans="1:31" x14ac:dyDescent="0.25">
      <c r="A203" s="41">
        <f t="shared" si="3"/>
        <v>202</v>
      </c>
      <c r="B203" s="41" t="s">
        <v>163</v>
      </c>
      <c r="C203" s="41" t="s">
        <v>440</v>
      </c>
      <c r="D203" s="41" t="s">
        <v>463</v>
      </c>
      <c r="E203" s="43" t="s">
        <v>171</v>
      </c>
      <c r="F203" s="43" t="s">
        <v>181</v>
      </c>
      <c r="G203" s="41" t="s">
        <v>184</v>
      </c>
      <c r="H203" s="41" t="s">
        <v>169</v>
      </c>
      <c r="I203" s="44">
        <v>33000</v>
      </c>
      <c r="J203" s="45">
        <v>942</v>
      </c>
      <c r="K203" s="100">
        <v>1</v>
      </c>
      <c r="L203" s="51">
        <v>35</v>
      </c>
      <c r="M203" s="109">
        <v>0</v>
      </c>
      <c r="N203" s="103"/>
      <c r="O203" s="41" t="s">
        <v>851</v>
      </c>
      <c r="P203" s="41"/>
      <c r="Q203" s="41"/>
      <c r="R203" s="41"/>
      <c r="S203" s="41"/>
      <c r="T203" s="102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0"/>
    </row>
    <row r="204" spans="1:31" x14ac:dyDescent="0.25">
      <c r="A204" s="41">
        <f t="shared" si="3"/>
        <v>203</v>
      </c>
      <c r="B204" s="41" t="s">
        <v>163</v>
      </c>
      <c r="C204" s="41" t="s">
        <v>440</v>
      </c>
      <c r="D204" s="41" t="s">
        <v>464</v>
      </c>
      <c r="E204" s="43" t="s">
        <v>166</v>
      </c>
      <c r="F204" s="43" t="s">
        <v>167</v>
      </c>
      <c r="G204" s="41" t="s">
        <v>450</v>
      </c>
      <c r="H204" s="41" t="s">
        <v>169</v>
      </c>
      <c r="I204" s="44">
        <v>102007</v>
      </c>
      <c r="J204" s="41">
        <v>2914</v>
      </c>
      <c r="K204" s="100">
        <v>1</v>
      </c>
      <c r="L204" s="51">
        <v>35</v>
      </c>
      <c r="M204" s="109">
        <v>0</v>
      </c>
      <c r="N204" s="103"/>
      <c r="O204" s="41" t="s">
        <v>851</v>
      </c>
      <c r="P204" s="41"/>
      <c r="Q204" s="41"/>
      <c r="R204" s="41"/>
      <c r="S204" s="41"/>
      <c r="T204" s="102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0"/>
    </row>
    <row r="205" spans="1:31" hidden="1" x14ac:dyDescent="0.25">
      <c r="A205" s="41">
        <f t="shared" si="3"/>
        <v>204</v>
      </c>
      <c r="B205" s="41" t="s">
        <v>163</v>
      </c>
      <c r="C205" s="41" t="s">
        <v>54</v>
      </c>
      <c r="D205" s="41" t="s">
        <v>465</v>
      </c>
      <c r="E205" s="43" t="s">
        <v>171</v>
      </c>
      <c r="F205" s="43" t="s">
        <v>215</v>
      </c>
      <c r="G205" s="41" t="s">
        <v>347</v>
      </c>
      <c r="H205" s="41"/>
      <c r="I205" s="41">
        <v>55000</v>
      </c>
      <c r="J205" s="45">
        <v>650</v>
      </c>
      <c r="K205" s="100">
        <v>0.5</v>
      </c>
      <c r="L205" s="51">
        <v>7000</v>
      </c>
      <c r="M205" s="41"/>
      <c r="N205" s="103"/>
      <c r="O205" s="37"/>
      <c r="P205" s="41"/>
      <c r="Q205" s="41"/>
      <c r="R205" s="41"/>
      <c r="S205" s="41"/>
      <c r="T205" s="102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0"/>
    </row>
    <row r="206" spans="1:31" hidden="1" x14ac:dyDescent="0.25">
      <c r="A206" s="41">
        <f t="shared" si="3"/>
        <v>205</v>
      </c>
      <c r="B206" s="41" t="s">
        <v>163</v>
      </c>
      <c r="C206" s="41" t="s">
        <v>466</v>
      </c>
      <c r="D206" s="42" t="s">
        <v>467</v>
      </c>
      <c r="E206" s="43" t="s">
        <v>171</v>
      </c>
      <c r="F206" s="41" t="s">
        <v>198</v>
      </c>
      <c r="G206" s="41" t="s">
        <v>468</v>
      </c>
      <c r="H206" s="41" t="s">
        <v>169</v>
      </c>
      <c r="I206" s="44">
        <v>16000</v>
      </c>
      <c r="J206" s="41">
        <v>300</v>
      </c>
      <c r="K206" s="100">
        <v>0.97</v>
      </c>
      <c r="L206" s="51">
        <v>50</v>
      </c>
      <c r="M206" s="106">
        <v>189</v>
      </c>
      <c r="N206" s="103"/>
      <c r="O206" s="37">
        <v>45882</v>
      </c>
      <c r="P206" s="41"/>
      <c r="Q206" s="41"/>
      <c r="R206" s="41"/>
      <c r="S206" s="41"/>
      <c r="T206" s="102" t="s">
        <v>924</v>
      </c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0"/>
    </row>
    <row r="207" spans="1:31" x14ac:dyDescent="0.25">
      <c r="A207" s="41">
        <f t="shared" si="3"/>
        <v>206</v>
      </c>
      <c r="B207" s="41" t="s">
        <v>163</v>
      </c>
      <c r="C207" s="41" t="s">
        <v>466</v>
      </c>
      <c r="D207" s="42" t="s">
        <v>441</v>
      </c>
      <c r="E207" s="43" t="s">
        <v>166</v>
      </c>
      <c r="F207" s="41" t="s">
        <v>198</v>
      </c>
      <c r="G207" s="41" t="s">
        <v>469</v>
      </c>
      <c r="H207" s="41" t="s">
        <v>248</v>
      </c>
      <c r="I207" s="44">
        <v>24000</v>
      </c>
      <c r="J207" s="41">
        <v>450</v>
      </c>
      <c r="K207" s="100">
        <v>1</v>
      </c>
      <c r="L207" s="51">
        <v>50</v>
      </c>
      <c r="M207" s="109">
        <v>0</v>
      </c>
      <c r="N207" s="103"/>
      <c r="O207" s="37">
        <v>45882</v>
      </c>
      <c r="P207" s="41"/>
      <c r="Q207" s="41"/>
      <c r="R207" s="41"/>
      <c r="S207" s="41"/>
      <c r="T207" s="102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0"/>
    </row>
    <row r="208" spans="1:31" hidden="1" x14ac:dyDescent="0.25">
      <c r="A208" s="41">
        <f t="shared" si="3"/>
        <v>207</v>
      </c>
      <c r="B208" s="41" t="s">
        <v>163</v>
      </c>
      <c r="C208" s="41" t="s">
        <v>466</v>
      </c>
      <c r="D208" s="42" t="s">
        <v>931</v>
      </c>
      <c r="E208" s="43" t="s">
        <v>166</v>
      </c>
      <c r="F208" s="41" t="s">
        <v>192</v>
      </c>
      <c r="G208" s="41" t="s">
        <v>511</v>
      </c>
      <c r="H208" s="41" t="s">
        <v>248</v>
      </c>
      <c r="I208" s="44">
        <v>13000</v>
      </c>
      <c r="J208" s="41">
        <v>230</v>
      </c>
      <c r="K208" s="100">
        <v>1</v>
      </c>
      <c r="L208" s="51">
        <v>50</v>
      </c>
      <c r="M208" s="106" t="s">
        <v>932</v>
      </c>
      <c r="N208" s="103"/>
      <c r="O208" s="37">
        <v>45882</v>
      </c>
      <c r="P208" s="41"/>
      <c r="Q208" s="41"/>
      <c r="R208" s="41" t="s">
        <v>930</v>
      </c>
      <c r="S208" s="41"/>
      <c r="T208" s="107">
        <v>9500</v>
      </c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0"/>
    </row>
    <row r="209" spans="1:31" x14ac:dyDescent="0.25">
      <c r="A209" s="41">
        <f t="shared" si="3"/>
        <v>208</v>
      </c>
      <c r="B209" s="41" t="s">
        <v>163</v>
      </c>
      <c r="C209" s="41" t="s">
        <v>466</v>
      </c>
      <c r="D209" s="42" t="s">
        <v>470</v>
      </c>
      <c r="E209" s="43" t="s">
        <v>171</v>
      </c>
      <c r="F209" s="41" t="s">
        <v>198</v>
      </c>
      <c r="G209" s="41" t="s">
        <v>468</v>
      </c>
      <c r="H209" s="41" t="s">
        <v>248</v>
      </c>
      <c r="I209" s="44">
        <v>25000</v>
      </c>
      <c r="J209" s="41">
        <v>480</v>
      </c>
      <c r="K209" s="100">
        <v>1</v>
      </c>
      <c r="L209" s="51">
        <v>50</v>
      </c>
      <c r="M209" s="109">
        <v>0</v>
      </c>
      <c r="N209" s="103"/>
      <c r="O209" s="37">
        <v>45882</v>
      </c>
      <c r="P209" s="41"/>
      <c r="Q209" s="41"/>
      <c r="R209" s="41"/>
      <c r="S209" s="41"/>
      <c r="T209" s="102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0"/>
    </row>
    <row r="210" spans="1:31" hidden="1" x14ac:dyDescent="0.25">
      <c r="A210" s="41">
        <f t="shared" si="3"/>
        <v>209</v>
      </c>
      <c r="B210" s="41" t="s">
        <v>163</v>
      </c>
      <c r="C210" s="41" t="s">
        <v>466</v>
      </c>
      <c r="D210" s="41" t="s">
        <v>933</v>
      </c>
      <c r="E210" s="43" t="s">
        <v>171</v>
      </c>
      <c r="F210" s="41" t="s">
        <v>192</v>
      </c>
      <c r="G210" s="41" t="s">
        <v>934</v>
      </c>
      <c r="H210" s="41" t="s">
        <v>169</v>
      </c>
      <c r="I210" s="44"/>
      <c r="J210" s="41"/>
      <c r="K210" s="100"/>
      <c r="L210" s="51"/>
      <c r="M210" s="106" t="s">
        <v>935</v>
      </c>
      <c r="N210" s="103"/>
      <c r="O210" s="37">
        <v>45882</v>
      </c>
      <c r="P210" s="41"/>
      <c r="Q210" s="41"/>
      <c r="R210" s="41" t="s">
        <v>936</v>
      </c>
      <c r="S210" s="41"/>
      <c r="T210" s="102" t="s">
        <v>937</v>
      </c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0"/>
    </row>
    <row r="211" spans="1:31" ht="12.95" customHeight="1" x14ac:dyDescent="0.25">
      <c r="A211" s="41">
        <f t="shared" si="3"/>
        <v>210</v>
      </c>
      <c r="B211" s="41" t="s">
        <v>163</v>
      </c>
      <c r="C211" s="41" t="s">
        <v>466</v>
      </c>
      <c r="D211" s="42" t="s">
        <v>471</v>
      </c>
      <c r="E211" s="43" t="s">
        <v>171</v>
      </c>
      <c r="F211" s="41" t="s">
        <v>198</v>
      </c>
      <c r="G211" s="42" t="s">
        <v>472</v>
      </c>
      <c r="H211" s="41" t="s">
        <v>169</v>
      </c>
      <c r="I211" s="44">
        <v>18000</v>
      </c>
      <c r="J211" s="41">
        <v>250</v>
      </c>
      <c r="K211" s="100">
        <v>1</v>
      </c>
      <c r="L211" s="51">
        <v>50</v>
      </c>
      <c r="M211" s="109">
        <v>0</v>
      </c>
      <c r="N211" s="103"/>
      <c r="O211" s="37">
        <v>45882</v>
      </c>
      <c r="P211" s="41"/>
      <c r="Q211" s="41"/>
      <c r="R211" s="41"/>
      <c r="S211" s="41"/>
      <c r="T211" s="102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0"/>
    </row>
    <row r="212" spans="1:31" hidden="1" x14ac:dyDescent="0.25">
      <c r="A212" s="41">
        <f t="shared" si="3"/>
        <v>211</v>
      </c>
      <c r="B212" s="41" t="s">
        <v>163</v>
      </c>
      <c r="C212" s="41" t="s">
        <v>466</v>
      </c>
      <c r="D212" s="42" t="s">
        <v>927</v>
      </c>
      <c r="E212" s="43" t="s">
        <v>171</v>
      </c>
      <c r="F212" s="41" t="s">
        <v>192</v>
      </c>
      <c r="G212" s="41" t="s">
        <v>473</v>
      </c>
      <c r="H212" s="41" t="s">
        <v>169</v>
      </c>
      <c r="I212" s="44">
        <v>56000</v>
      </c>
      <c r="J212" s="41">
        <v>700</v>
      </c>
      <c r="K212" s="100">
        <v>0.86</v>
      </c>
      <c r="L212" s="51">
        <v>50</v>
      </c>
      <c r="M212" s="106">
        <v>255</v>
      </c>
      <c r="N212" s="103"/>
      <c r="O212" s="37">
        <v>45882</v>
      </c>
      <c r="P212" s="41"/>
      <c r="Q212" s="41" t="s">
        <v>925</v>
      </c>
      <c r="R212" s="41"/>
      <c r="S212" s="41"/>
      <c r="T212" s="102" t="s">
        <v>906</v>
      </c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0"/>
    </row>
    <row r="213" spans="1:31" hidden="1" x14ac:dyDescent="0.25">
      <c r="A213" s="41">
        <f t="shared" si="3"/>
        <v>212</v>
      </c>
      <c r="B213" s="41" t="s">
        <v>163</v>
      </c>
      <c r="C213" s="41" t="s">
        <v>466</v>
      </c>
      <c r="D213" s="42" t="s">
        <v>926</v>
      </c>
      <c r="E213" s="43" t="s">
        <v>171</v>
      </c>
      <c r="F213" s="41" t="s">
        <v>192</v>
      </c>
      <c r="G213" s="41" t="s">
        <v>473</v>
      </c>
      <c r="H213" s="41" t="s">
        <v>248</v>
      </c>
      <c r="I213" s="44">
        <v>24000</v>
      </c>
      <c r="J213" s="41">
        <v>450</v>
      </c>
      <c r="K213" s="100">
        <v>1</v>
      </c>
      <c r="L213" s="51">
        <v>50</v>
      </c>
      <c r="M213" s="106" t="s">
        <v>928</v>
      </c>
      <c r="N213" s="103"/>
      <c r="O213" s="37">
        <v>45882</v>
      </c>
      <c r="P213" s="41"/>
      <c r="Q213" s="41" t="s">
        <v>929</v>
      </c>
      <c r="R213" s="41" t="s">
        <v>930</v>
      </c>
      <c r="S213" s="41"/>
      <c r="T213" s="107">
        <v>10500</v>
      </c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0"/>
    </row>
    <row r="214" spans="1:31" x14ac:dyDescent="0.25">
      <c r="A214" s="41">
        <f t="shared" si="3"/>
        <v>213</v>
      </c>
      <c r="B214" s="41" t="s">
        <v>163</v>
      </c>
      <c r="C214" s="41" t="s">
        <v>474</v>
      </c>
      <c r="D214" s="42" t="s">
        <v>475</v>
      </c>
      <c r="E214" s="43" t="s">
        <v>171</v>
      </c>
      <c r="F214" s="41" t="s">
        <v>172</v>
      </c>
      <c r="G214" s="41" t="s">
        <v>476</v>
      </c>
      <c r="H214" s="41" t="s">
        <v>248</v>
      </c>
      <c r="I214" s="44">
        <v>14500</v>
      </c>
      <c r="J214" s="41">
        <v>450</v>
      </c>
      <c r="K214" s="100">
        <v>1</v>
      </c>
      <c r="L214" s="57">
        <v>32.222222222222221</v>
      </c>
      <c r="M214" s="109">
        <v>0</v>
      </c>
      <c r="N214" s="103"/>
      <c r="O214" s="37">
        <v>45890</v>
      </c>
      <c r="P214" s="41"/>
      <c r="Q214" s="41"/>
      <c r="R214" s="41"/>
      <c r="S214" s="41"/>
      <c r="T214" s="102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0"/>
    </row>
    <row r="215" spans="1:31" x14ac:dyDescent="0.25">
      <c r="A215" s="41">
        <f t="shared" si="3"/>
        <v>214</v>
      </c>
      <c r="B215" s="41" t="s">
        <v>163</v>
      </c>
      <c r="C215" s="41" t="s">
        <v>474</v>
      </c>
      <c r="D215" s="42" t="s">
        <v>477</v>
      </c>
      <c r="E215" s="43" t="s">
        <v>171</v>
      </c>
      <c r="F215" s="41" t="s">
        <v>172</v>
      </c>
      <c r="G215" s="41" t="s">
        <v>476</v>
      </c>
      <c r="H215" s="41" t="s">
        <v>169</v>
      </c>
      <c r="I215" s="44">
        <v>5700</v>
      </c>
      <c r="J215" s="41">
        <v>200</v>
      </c>
      <c r="K215" s="100">
        <v>1</v>
      </c>
      <c r="L215" s="57">
        <v>28.5</v>
      </c>
      <c r="M215" s="109">
        <v>0</v>
      </c>
      <c r="N215" s="103"/>
      <c r="O215" s="37">
        <v>45890</v>
      </c>
      <c r="P215" s="41"/>
      <c r="Q215" s="41"/>
      <c r="R215" s="41"/>
      <c r="S215" s="41"/>
      <c r="T215" s="102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0"/>
    </row>
    <row r="216" spans="1:31" hidden="1" x14ac:dyDescent="0.25">
      <c r="A216" s="41">
        <f t="shared" si="3"/>
        <v>215</v>
      </c>
      <c r="B216" s="41" t="s">
        <v>163</v>
      </c>
      <c r="C216" s="41" t="s">
        <v>474</v>
      </c>
      <c r="D216" s="42" t="s">
        <v>478</v>
      </c>
      <c r="E216" s="43" t="s">
        <v>171</v>
      </c>
      <c r="F216" s="41" t="s">
        <v>172</v>
      </c>
      <c r="G216" s="41" t="s">
        <v>479</v>
      </c>
      <c r="H216" s="41" t="s">
        <v>248</v>
      </c>
      <c r="I216" s="44">
        <v>12500</v>
      </c>
      <c r="J216" s="41">
        <v>490</v>
      </c>
      <c r="K216" s="100">
        <v>0.83</v>
      </c>
      <c r="L216" s="57">
        <v>25.510204081632654</v>
      </c>
      <c r="M216" s="106">
        <v>50</v>
      </c>
      <c r="N216" s="103"/>
      <c r="O216" s="37">
        <v>45890</v>
      </c>
      <c r="P216" s="41"/>
      <c r="Q216" s="41" t="s">
        <v>981</v>
      </c>
      <c r="R216" s="41"/>
      <c r="S216" s="41"/>
      <c r="T216" s="102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0"/>
    </row>
    <row r="217" spans="1:31" x14ac:dyDescent="0.25">
      <c r="A217" s="41">
        <f t="shared" si="3"/>
        <v>216</v>
      </c>
      <c r="B217" s="41" t="s">
        <v>163</v>
      </c>
      <c r="C217" s="41" t="s">
        <v>474</v>
      </c>
      <c r="D217" s="42" t="s">
        <v>480</v>
      </c>
      <c r="E217" s="43" t="s">
        <v>171</v>
      </c>
      <c r="F217" s="41" t="s">
        <v>172</v>
      </c>
      <c r="G217" s="41" t="s">
        <v>481</v>
      </c>
      <c r="H217" s="41" t="s">
        <v>248</v>
      </c>
      <c r="I217" s="44">
        <v>13000</v>
      </c>
      <c r="J217" s="41">
        <v>500</v>
      </c>
      <c r="K217" s="100">
        <v>1</v>
      </c>
      <c r="L217" s="57">
        <v>26</v>
      </c>
      <c r="M217" s="109">
        <v>0</v>
      </c>
      <c r="N217" s="103"/>
      <c r="O217" s="37">
        <v>45890</v>
      </c>
      <c r="P217" s="41"/>
      <c r="Q217" s="41"/>
      <c r="R217" s="41"/>
      <c r="S217" s="41"/>
      <c r="T217" s="102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0"/>
    </row>
    <row r="218" spans="1:31" hidden="1" x14ac:dyDescent="0.25">
      <c r="A218" s="41">
        <f t="shared" si="3"/>
        <v>217</v>
      </c>
      <c r="B218" s="41" t="s">
        <v>163</v>
      </c>
      <c r="C218" s="41" t="s">
        <v>474</v>
      </c>
      <c r="D218" s="42" t="s">
        <v>482</v>
      </c>
      <c r="E218" s="43" t="s">
        <v>171</v>
      </c>
      <c r="F218" s="41" t="s">
        <v>172</v>
      </c>
      <c r="G218" s="41" t="s">
        <v>483</v>
      </c>
      <c r="H218" s="41" t="s">
        <v>248</v>
      </c>
      <c r="I218" s="44">
        <v>17000</v>
      </c>
      <c r="J218" s="41">
        <v>640</v>
      </c>
      <c r="K218" s="100">
        <v>1</v>
      </c>
      <c r="L218" s="57">
        <v>26.5625</v>
      </c>
      <c r="M218" s="106">
        <v>373</v>
      </c>
      <c r="N218" s="103"/>
      <c r="O218" s="37">
        <v>45890</v>
      </c>
      <c r="P218" s="41"/>
      <c r="Q218" s="41" t="s">
        <v>1014</v>
      </c>
      <c r="R218" s="41"/>
      <c r="S218" s="41"/>
      <c r="T218" s="102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0"/>
    </row>
    <row r="219" spans="1:31" x14ac:dyDescent="0.25">
      <c r="A219" s="41">
        <f t="shared" si="3"/>
        <v>218</v>
      </c>
      <c r="B219" s="41" t="s">
        <v>163</v>
      </c>
      <c r="C219" s="41" t="s">
        <v>474</v>
      </c>
      <c r="D219" s="42" t="s">
        <v>484</v>
      </c>
      <c r="E219" s="43" t="s">
        <v>171</v>
      </c>
      <c r="F219" s="41" t="s">
        <v>172</v>
      </c>
      <c r="G219" s="41" t="s">
        <v>483</v>
      </c>
      <c r="H219" s="41" t="s">
        <v>248</v>
      </c>
      <c r="I219" s="44">
        <v>16450</v>
      </c>
      <c r="J219" s="41">
        <v>557</v>
      </c>
      <c r="K219" s="100">
        <v>1</v>
      </c>
      <c r="L219" s="57">
        <v>29.533213644524238</v>
      </c>
      <c r="M219" s="109">
        <v>0</v>
      </c>
      <c r="N219" s="103"/>
      <c r="O219" s="37">
        <v>45890</v>
      </c>
      <c r="P219" s="41"/>
      <c r="Q219" s="41"/>
      <c r="R219" s="41"/>
      <c r="S219" s="41"/>
      <c r="T219" s="102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0"/>
    </row>
    <row r="220" spans="1:31" x14ac:dyDescent="0.25">
      <c r="A220" s="41">
        <f t="shared" si="3"/>
        <v>219</v>
      </c>
      <c r="B220" s="41" t="s">
        <v>163</v>
      </c>
      <c r="C220" s="41" t="s">
        <v>474</v>
      </c>
      <c r="D220" s="42" t="s">
        <v>485</v>
      </c>
      <c r="E220" s="43" t="s">
        <v>171</v>
      </c>
      <c r="F220" s="41" t="s">
        <v>172</v>
      </c>
      <c r="G220" s="41" t="s">
        <v>486</v>
      </c>
      <c r="H220" s="41" t="s">
        <v>248</v>
      </c>
      <c r="I220" s="44">
        <v>14000</v>
      </c>
      <c r="J220" s="41">
        <v>540</v>
      </c>
      <c r="K220" s="100">
        <v>0.95</v>
      </c>
      <c r="L220" s="57">
        <v>25.925925925925927</v>
      </c>
      <c r="M220" s="109">
        <v>0</v>
      </c>
      <c r="N220" s="103"/>
      <c r="O220" s="37">
        <v>45890</v>
      </c>
      <c r="P220" s="41"/>
      <c r="Q220" s="41"/>
      <c r="R220" s="41"/>
      <c r="S220" s="41"/>
      <c r="T220" s="102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0"/>
    </row>
    <row r="221" spans="1:31" x14ac:dyDescent="0.25">
      <c r="A221" s="41">
        <f t="shared" si="3"/>
        <v>220</v>
      </c>
      <c r="B221" s="41" t="s">
        <v>163</v>
      </c>
      <c r="C221" s="41" t="s">
        <v>474</v>
      </c>
      <c r="D221" s="42" t="s">
        <v>487</v>
      </c>
      <c r="E221" s="43" t="s">
        <v>171</v>
      </c>
      <c r="F221" s="41" t="s">
        <v>172</v>
      </c>
      <c r="G221" s="41" t="s">
        <v>488</v>
      </c>
      <c r="H221" s="41" t="s">
        <v>169</v>
      </c>
      <c r="I221" s="44">
        <v>3200</v>
      </c>
      <c r="J221" s="41">
        <v>110</v>
      </c>
      <c r="K221" s="100">
        <v>1</v>
      </c>
      <c r="L221" s="57">
        <v>29.09090909090909</v>
      </c>
      <c r="M221" s="109">
        <v>0</v>
      </c>
      <c r="N221" s="103"/>
      <c r="O221" s="37">
        <v>45890</v>
      </c>
      <c r="P221" s="41"/>
      <c r="Q221" s="41"/>
      <c r="R221" s="41"/>
      <c r="S221" s="41"/>
      <c r="T221" s="102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0"/>
    </row>
    <row r="222" spans="1:31" x14ac:dyDescent="0.25">
      <c r="A222" s="41">
        <f t="shared" si="3"/>
        <v>221</v>
      </c>
      <c r="B222" s="41" t="s">
        <v>163</v>
      </c>
      <c r="C222" s="41" t="s">
        <v>474</v>
      </c>
      <c r="D222" s="42" t="s">
        <v>489</v>
      </c>
      <c r="E222" s="43" t="s">
        <v>171</v>
      </c>
      <c r="F222" s="41" t="s">
        <v>172</v>
      </c>
      <c r="G222" s="41" t="s">
        <v>488</v>
      </c>
      <c r="H222" s="41" t="s">
        <v>169</v>
      </c>
      <c r="I222" s="44">
        <v>3650</v>
      </c>
      <c r="J222" s="41">
        <v>120</v>
      </c>
      <c r="K222" s="100">
        <v>0.8</v>
      </c>
      <c r="L222" s="57">
        <v>30.416666666666668</v>
      </c>
      <c r="M222" s="109">
        <v>0</v>
      </c>
      <c r="N222" s="103"/>
      <c r="O222" s="37">
        <v>45890</v>
      </c>
      <c r="P222" s="41"/>
      <c r="Q222" s="41"/>
      <c r="R222" s="41"/>
      <c r="S222" s="41"/>
      <c r="T222" s="102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0"/>
    </row>
    <row r="223" spans="1:31" hidden="1" x14ac:dyDescent="0.25">
      <c r="A223" s="41">
        <f t="shared" si="3"/>
        <v>222</v>
      </c>
      <c r="B223" s="41" t="s">
        <v>163</v>
      </c>
      <c r="C223" s="41" t="s">
        <v>474</v>
      </c>
      <c r="D223" s="42" t="s">
        <v>490</v>
      </c>
      <c r="E223" s="43" t="s">
        <v>171</v>
      </c>
      <c r="F223" s="41" t="s">
        <v>172</v>
      </c>
      <c r="G223" s="41" t="s">
        <v>481</v>
      </c>
      <c r="H223" s="41" t="s">
        <v>169</v>
      </c>
      <c r="I223" s="44">
        <v>10000</v>
      </c>
      <c r="J223" s="41">
        <v>373</v>
      </c>
      <c r="K223" s="100">
        <v>1</v>
      </c>
      <c r="L223" s="57">
        <v>26.809651474530831</v>
      </c>
      <c r="M223" s="106">
        <v>52</v>
      </c>
      <c r="N223" s="103"/>
      <c r="O223" s="37">
        <v>45890</v>
      </c>
      <c r="P223" s="41"/>
      <c r="Q223" s="41" t="s">
        <v>881</v>
      </c>
      <c r="R223" s="41"/>
      <c r="S223" s="41"/>
      <c r="T223" s="102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0"/>
    </row>
    <row r="224" spans="1:31" hidden="1" x14ac:dyDescent="0.25">
      <c r="A224" s="41">
        <f t="shared" si="3"/>
        <v>223</v>
      </c>
      <c r="B224" s="41" t="s">
        <v>163</v>
      </c>
      <c r="C224" s="41" t="s">
        <v>474</v>
      </c>
      <c r="D224" s="42" t="s">
        <v>491</v>
      </c>
      <c r="E224" s="43" t="s">
        <v>171</v>
      </c>
      <c r="F224" s="41" t="s">
        <v>176</v>
      </c>
      <c r="G224" s="41" t="s">
        <v>492</v>
      </c>
      <c r="H224" s="41" t="s">
        <v>169</v>
      </c>
      <c r="I224" s="44">
        <v>12000</v>
      </c>
      <c r="J224" s="41">
        <v>409</v>
      </c>
      <c r="K224" s="100">
        <v>0.9</v>
      </c>
      <c r="L224" s="57">
        <v>29.339853300733495</v>
      </c>
      <c r="M224" s="106">
        <v>21</v>
      </c>
      <c r="N224" s="103"/>
      <c r="O224" s="37">
        <v>45890</v>
      </c>
      <c r="P224" s="41"/>
      <c r="Q224" s="41" t="s">
        <v>979</v>
      </c>
      <c r="R224" s="41"/>
      <c r="S224" s="41"/>
      <c r="T224" s="102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0"/>
    </row>
    <row r="225" spans="1:31" x14ac:dyDescent="0.25">
      <c r="A225" s="41">
        <f t="shared" si="3"/>
        <v>224</v>
      </c>
      <c r="B225" s="41" t="s">
        <v>163</v>
      </c>
      <c r="C225" s="41" t="s">
        <v>474</v>
      </c>
      <c r="D225" s="42" t="s">
        <v>493</v>
      </c>
      <c r="E225" s="43" t="s">
        <v>166</v>
      </c>
      <c r="F225" s="41" t="s">
        <v>176</v>
      </c>
      <c r="G225" s="41" t="s">
        <v>494</v>
      </c>
      <c r="H225" s="41" t="s">
        <v>169</v>
      </c>
      <c r="I225" s="44">
        <v>25000</v>
      </c>
      <c r="J225" s="41">
        <v>599</v>
      </c>
      <c r="K225" s="100">
        <v>1</v>
      </c>
      <c r="L225" s="57">
        <v>41.736227045075125</v>
      </c>
      <c r="M225" s="109">
        <v>0</v>
      </c>
      <c r="N225" s="103"/>
      <c r="O225" s="37">
        <v>45890</v>
      </c>
      <c r="P225" s="41"/>
      <c r="Q225" s="41"/>
      <c r="R225" s="41"/>
      <c r="S225" s="41"/>
      <c r="T225" s="102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0"/>
    </row>
    <row r="226" spans="1:31" hidden="1" x14ac:dyDescent="0.25">
      <c r="A226" s="41">
        <f t="shared" si="3"/>
        <v>225</v>
      </c>
      <c r="B226" s="41" t="s">
        <v>163</v>
      </c>
      <c r="C226" s="41" t="s">
        <v>474</v>
      </c>
      <c r="D226" s="42" t="s">
        <v>495</v>
      </c>
      <c r="E226" s="43" t="s">
        <v>171</v>
      </c>
      <c r="F226" s="41" t="s">
        <v>215</v>
      </c>
      <c r="G226" s="41" t="s">
        <v>496</v>
      </c>
      <c r="H226" s="41" t="s">
        <v>169</v>
      </c>
      <c r="I226" s="44">
        <v>14200</v>
      </c>
      <c r="J226" s="41">
        <v>440</v>
      </c>
      <c r="K226" s="100">
        <v>0.3</v>
      </c>
      <c r="L226" s="57">
        <v>32.272727272727273</v>
      </c>
      <c r="M226" s="106">
        <v>110</v>
      </c>
      <c r="N226" s="103"/>
      <c r="O226" s="37">
        <v>45890</v>
      </c>
      <c r="P226" s="41"/>
      <c r="Q226" s="41" t="s">
        <v>981</v>
      </c>
      <c r="R226" s="41"/>
      <c r="S226" s="41"/>
      <c r="T226" s="102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0"/>
    </row>
    <row r="227" spans="1:31" x14ac:dyDescent="0.25">
      <c r="A227" s="41">
        <f t="shared" si="3"/>
        <v>226</v>
      </c>
      <c r="B227" s="41" t="s">
        <v>163</v>
      </c>
      <c r="C227" s="41" t="s">
        <v>474</v>
      </c>
      <c r="D227" s="42" t="s">
        <v>497</v>
      </c>
      <c r="E227" s="43" t="s">
        <v>166</v>
      </c>
      <c r="F227" s="41" t="s">
        <v>167</v>
      </c>
      <c r="G227" s="41" t="s">
        <v>450</v>
      </c>
      <c r="H227" s="41" t="s">
        <v>248</v>
      </c>
      <c r="I227" s="44">
        <v>17296</v>
      </c>
      <c r="J227" s="41">
        <v>521</v>
      </c>
      <c r="K227" s="100">
        <v>1</v>
      </c>
      <c r="L227" s="57">
        <v>33.197696737044147</v>
      </c>
      <c r="M227" s="109">
        <v>0</v>
      </c>
      <c r="N227" s="103"/>
      <c r="O227" s="37">
        <v>45890</v>
      </c>
      <c r="P227" s="41"/>
      <c r="Q227" s="41"/>
      <c r="R227" s="41"/>
      <c r="S227" s="41"/>
      <c r="T227" s="102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0"/>
    </row>
    <row r="228" spans="1:31" hidden="1" x14ac:dyDescent="0.25">
      <c r="A228" s="41">
        <f t="shared" si="3"/>
        <v>227</v>
      </c>
      <c r="B228" s="41" t="s">
        <v>163</v>
      </c>
      <c r="C228" s="41" t="s">
        <v>59</v>
      </c>
      <c r="D228" s="42" t="s">
        <v>498</v>
      </c>
      <c r="E228" s="43" t="s">
        <v>171</v>
      </c>
      <c r="F228" s="41" t="s">
        <v>172</v>
      </c>
      <c r="G228" s="41" t="s">
        <v>172</v>
      </c>
      <c r="H228" s="41" t="s">
        <v>169</v>
      </c>
      <c r="I228" s="44">
        <v>20000</v>
      </c>
      <c r="J228" s="41">
        <v>500</v>
      </c>
      <c r="K228" s="100">
        <v>0.5</v>
      </c>
      <c r="L228" s="51">
        <v>6500</v>
      </c>
      <c r="M228" s="41"/>
      <c r="N228" s="103"/>
      <c r="O228" s="37"/>
      <c r="P228" s="41"/>
      <c r="Q228" s="41"/>
      <c r="R228" s="41"/>
      <c r="S228" s="41"/>
      <c r="T228" s="102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0"/>
    </row>
    <row r="229" spans="1:31" hidden="1" x14ac:dyDescent="0.25">
      <c r="A229" s="41">
        <f t="shared" si="3"/>
        <v>228</v>
      </c>
      <c r="B229" s="41" t="s">
        <v>163</v>
      </c>
      <c r="C229" s="41" t="s">
        <v>59</v>
      </c>
      <c r="D229" s="42" t="s">
        <v>233</v>
      </c>
      <c r="E229" s="43" t="s">
        <v>171</v>
      </c>
      <c r="F229" s="41" t="s">
        <v>172</v>
      </c>
      <c r="G229" s="41" t="s">
        <v>172</v>
      </c>
      <c r="H229" s="41" t="s">
        <v>169</v>
      </c>
      <c r="I229" s="44">
        <v>15000</v>
      </c>
      <c r="J229" s="41">
        <v>500</v>
      </c>
      <c r="K229" s="100">
        <v>0.5</v>
      </c>
      <c r="L229" s="51">
        <v>6500</v>
      </c>
      <c r="M229" s="41"/>
      <c r="N229" s="103"/>
      <c r="O229" s="37"/>
      <c r="P229" s="41"/>
      <c r="Q229" s="41"/>
      <c r="R229" s="41"/>
      <c r="S229" s="41"/>
      <c r="T229" s="102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0"/>
    </row>
    <row r="230" spans="1:31" hidden="1" x14ac:dyDescent="0.25">
      <c r="A230" s="41">
        <f t="shared" si="3"/>
        <v>229</v>
      </c>
      <c r="B230" s="41" t="s">
        <v>163</v>
      </c>
      <c r="C230" s="41" t="s">
        <v>59</v>
      </c>
      <c r="D230" s="42" t="s">
        <v>499</v>
      </c>
      <c r="E230" s="43" t="s">
        <v>171</v>
      </c>
      <c r="F230" s="41" t="s">
        <v>172</v>
      </c>
      <c r="G230" s="41" t="s">
        <v>172</v>
      </c>
      <c r="H230" s="41" t="s">
        <v>169</v>
      </c>
      <c r="I230" s="44">
        <v>15000</v>
      </c>
      <c r="J230" s="41">
        <v>500</v>
      </c>
      <c r="K230" s="100">
        <v>0.5</v>
      </c>
      <c r="L230" s="51">
        <v>6500</v>
      </c>
      <c r="M230" s="41"/>
      <c r="N230" s="103"/>
      <c r="O230" s="37"/>
      <c r="P230" s="41"/>
      <c r="Q230" s="41"/>
      <c r="R230" s="41"/>
      <c r="S230" s="41"/>
      <c r="T230" s="102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0"/>
    </row>
    <row r="231" spans="1:31" hidden="1" x14ac:dyDescent="0.25">
      <c r="A231" s="41">
        <f t="shared" si="3"/>
        <v>230</v>
      </c>
      <c r="B231" s="41" t="s">
        <v>163</v>
      </c>
      <c r="C231" s="41" t="s">
        <v>106</v>
      </c>
      <c r="D231" s="41" t="s">
        <v>500</v>
      </c>
      <c r="E231" s="43" t="s">
        <v>171</v>
      </c>
      <c r="F231" s="41" t="s">
        <v>172</v>
      </c>
      <c r="G231" s="41" t="s">
        <v>172</v>
      </c>
      <c r="H231" s="41" t="s">
        <v>169</v>
      </c>
      <c r="I231" s="44">
        <v>50000</v>
      </c>
      <c r="J231" s="41">
        <v>1000</v>
      </c>
      <c r="K231" s="100">
        <v>0.7</v>
      </c>
      <c r="L231" s="51">
        <v>50</v>
      </c>
      <c r="M231" s="41"/>
      <c r="N231" s="103"/>
      <c r="O231" s="37"/>
      <c r="P231" s="41"/>
      <c r="Q231" s="41"/>
      <c r="R231" s="41"/>
      <c r="S231" s="41"/>
      <c r="T231" s="102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0"/>
    </row>
    <row r="232" spans="1:31" hidden="1" x14ac:dyDescent="0.25">
      <c r="A232" s="41">
        <f t="shared" si="3"/>
        <v>231</v>
      </c>
      <c r="B232" s="41" t="s">
        <v>163</v>
      </c>
      <c r="C232" s="41" t="s">
        <v>106</v>
      </c>
      <c r="D232" s="41" t="s">
        <v>501</v>
      </c>
      <c r="E232" s="43" t="s">
        <v>171</v>
      </c>
      <c r="F232" s="41" t="s">
        <v>172</v>
      </c>
      <c r="G232" s="41" t="s">
        <v>172</v>
      </c>
      <c r="H232" s="41" t="s">
        <v>169</v>
      </c>
      <c r="I232" s="44">
        <v>18000</v>
      </c>
      <c r="J232" s="41">
        <v>360</v>
      </c>
      <c r="K232" s="100">
        <v>0.75</v>
      </c>
      <c r="L232" s="51">
        <v>50</v>
      </c>
      <c r="M232" s="41"/>
      <c r="N232" s="103"/>
      <c r="O232" s="37"/>
      <c r="P232" s="41"/>
      <c r="Q232" s="41"/>
      <c r="R232" s="41"/>
      <c r="S232" s="41"/>
      <c r="T232" s="102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0"/>
    </row>
    <row r="233" spans="1:31" hidden="1" x14ac:dyDescent="0.25">
      <c r="A233" s="41">
        <f t="shared" si="3"/>
        <v>232</v>
      </c>
      <c r="B233" s="41" t="s">
        <v>163</v>
      </c>
      <c r="C233" s="41" t="s">
        <v>106</v>
      </c>
      <c r="D233" s="41" t="s">
        <v>502</v>
      </c>
      <c r="E233" s="43" t="s">
        <v>171</v>
      </c>
      <c r="F233" s="41" t="s">
        <v>172</v>
      </c>
      <c r="G233" s="41" t="s">
        <v>172</v>
      </c>
      <c r="H233" s="41" t="s">
        <v>169</v>
      </c>
      <c r="I233" s="44">
        <v>20000</v>
      </c>
      <c r="J233" s="41">
        <v>500</v>
      </c>
      <c r="K233" s="100">
        <v>1</v>
      </c>
      <c r="L233" s="51">
        <v>50</v>
      </c>
      <c r="M233" s="41"/>
      <c r="N233" s="103"/>
      <c r="O233" s="37"/>
      <c r="P233" s="41"/>
      <c r="Q233" s="41"/>
      <c r="R233" s="41"/>
      <c r="S233" s="41"/>
      <c r="T233" s="102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0"/>
    </row>
    <row r="234" spans="1:31" hidden="1" x14ac:dyDescent="0.25">
      <c r="A234" s="41">
        <f t="shared" si="3"/>
        <v>233</v>
      </c>
      <c r="B234" s="41" t="s">
        <v>163</v>
      </c>
      <c r="C234" s="41" t="s">
        <v>106</v>
      </c>
      <c r="D234" s="41" t="s">
        <v>503</v>
      </c>
      <c r="E234" s="43" t="s">
        <v>171</v>
      </c>
      <c r="F234" s="41" t="s">
        <v>172</v>
      </c>
      <c r="G234" s="41" t="s">
        <v>172</v>
      </c>
      <c r="H234" s="41" t="s">
        <v>169</v>
      </c>
      <c r="I234" s="44">
        <v>30000</v>
      </c>
      <c r="J234" s="41">
        <v>600</v>
      </c>
      <c r="K234" s="100">
        <v>0.2</v>
      </c>
      <c r="L234" s="51">
        <v>50</v>
      </c>
      <c r="M234" s="41"/>
      <c r="N234" s="103"/>
      <c r="O234" s="37"/>
      <c r="P234" s="41"/>
      <c r="Q234" s="41"/>
      <c r="R234" s="41"/>
      <c r="S234" s="41"/>
      <c r="T234" s="102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0"/>
    </row>
    <row r="235" spans="1:31" hidden="1" x14ac:dyDescent="0.25">
      <c r="A235" s="41">
        <f t="shared" si="3"/>
        <v>234</v>
      </c>
      <c r="B235" s="41" t="s">
        <v>163</v>
      </c>
      <c r="C235" s="41" t="s">
        <v>106</v>
      </c>
      <c r="D235" s="41" t="s">
        <v>504</v>
      </c>
      <c r="E235" s="43" t="s">
        <v>171</v>
      </c>
      <c r="F235" s="41" t="s">
        <v>172</v>
      </c>
      <c r="G235" s="41" t="s">
        <v>172</v>
      </c>
      <c r="H235" s="41" t="s">
        <v>169</v>
      </c>
      <c r="I235" s="44">
        <v>40000</v>
      </c>
      <c r="J235" s="41">
        <v>800</v>
      </c>
      <c r="K235" s="100">
        <v>0.2</v>
      </c>
      <c r="L235" s="51">
        <v>50</v>
      </c>
      <c r="M235" s="41"/>
      <c r="N235" s="103"/>
      <c r="O235" s="37"/>
      <c r="P235" s="41"/>
      <c r="Q235" s="41"/>
      <c r="R235" s="41"/>
      <c r="S235" s="41"/>
      <c r="T235" s="102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0"/>
    </row>
    <row r="236" spans="1:31" hidden="1" x14ac:dyDescent="0.25">
      <c r="A236" s="41">
        <f t="shared" si="3"/>
        <v>235</v>
      </c>
      <c r="B236" s="41" t="s">
        <v>163</v>
      </c>
      <c r="C236" s="41" t="s">
        <v>106</v>
      </c>
      <c r="D236" s="41" t="s">
        <v>505</v>
      </c>
      <c r="E236" s="43" t="s">
        <v>171</v>
      </c>
      <c r="F236" s="41" t="s">
        <v>172</v>
      </c>
      <c r="G236" s="41" t="s">
        <v>172</v>
      </c>
      <c r="H236" s="41" t="s">
        <v>169</v>
      </c>
      <c r="I236" s="44">
        <v>18000</v>
      </c>
      <c r="J236" s="41">
        <v>350</v>
      </c>
      <c r="K236" s="100">
        <v>0.25</v>
      </c>
      <c r="L236" s="51">
        <v>50</v>
      </c>
      <c r="M236" s="41"/>
      <c r="N236" s="103"/>
      <c r="O236" s="37"/>
      <c r="P236" s="41"/>
      <c r="Q236" s="41"/>
      <c r="R236" s="41"/>
      <c r="S236" s="41"/>
      <c r="T236" s="102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0"/>
    </row>
    <row r="237" spans="1:31" hidden="1" x14ac:dyDescent="0.25">
      <c r="A237" s="41">
        <f t="shared" si="3"/>
        <v>236</v>
      </c>
      <c r="B237" s="41" t="s">
        <v>163</v>
      </c>
      <c r="C237" s="41" t="s">
        <v>106</v>
      </c>
      <c r="D237" s="41" t="s">
        <v>506</v>
      </c>
      <c r="E237" s="43" t="s">
        <v>171</v>
      </c>
      <c r="F237" s="41" t="s">
        <v>172</v>
      </c>
      <c r="G237" s="41" t="s">
        <v>172</v>
      </c>
      <c r="H237" s="41" t="s">
        <v>169</v>
      </c>
      <c r="I237" s="44">
        <v>8000</v>
      </c>
      <c r="J237" s="41">
        <v>160</v>
      </c>
      <c r="K237" s="100">
        <v>0.3</v>
      </c>
      <c r="L237" s="51">
        <v>50</v>
      </c>
      <c r="M237" s="41"/>
      <c r="N237" s="103"/>
      <c r="O237" s="37"/>
      <c r="P237" s="41"/>
      <c r="Q237" s="41"/>
      <c r="R237" s="41"/>
      <c r="S237" s="41"/>
      <c r="T237" s="102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0"/>
    </row>
    <row r="238" spans="1:31" hidden="1" x14ac:dyDescent="0.25">
      <c r="A238" s="41">
        <f t="shared" si="3"/>
        <v>237</v>
      </c>
      <c r="B238" s="41" t="s">
        <v>163</v>
      </c>
      <c r="C238" s="41" t="s">
        <v>106</v>
      </c>
      <c r="D238" s="41" t="s">
        <v>507</v>
      </c>
      <c r="E238" s="43" t="s">
        <v>166</v>
      </c>
      <c r="F238" s="41" t="s">
        <v>172</v>
      </c>
      <c r="G238" s="41" t="s">
        <v>172</v>
      </c>
      <c r="H238" s="41" t="s">
        <v>169</v>
      </c>
      <c r="I238" s="44">
        <v>25000</v>
      </c>
      <c r="J238" s="41">
        <v>500</v>
      </c>
      <c r="K238" s="100">
        <v>1</v>
      </c>
      <c r="L238" s="51">
        <v>50</v>
      </c>
      <c r="M238" s="41"/>
      <c r="N238" s="103"/>
      <c r="O238" s="37"/>
      <c r="P238" s="41"/>
      <c r="Q238" s="41"/>
      <c r="R238" s="41"/>
      <c r="S238" s="41"/>
      <c r="T238" s="102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0"/>
    </row>
    <row r="239" spans="1:31" hidden="1" x14ac:dyDescent="0.25">
      <c r="A239" s="41">
        <f t="shared" si="3"/>
        <v>238</v>
      </c>
      <c r="B239" s="41" t="s">
        <v>163</v>
      </c>
      <c r="C239" s="41" t="s">
        <v>106</v>
      </c>
      <c r="D239" s="41" t="s">
        <v>508</v>
      </c>
      <c r="E239" s="43" t="s">
        <v>171</v>
      </c>
      <c r="F239" s="41" t="s">
        <v>172</v>
      </c>
      <c r="G239" s="41" t="s">
        <v>172</v>
      </c>
      <c r="H239" s="41" t="s">
        <v>169</v>
      </c>
      <c r="I239" s="44">
        <v>20000</v>
      </c>
      <c r="J239" s="41">
        <v>400</v>
      </c>
      <c r="K239" s="100">
        <v>0.2</v>
      </c>
      <c r="L239" s="51">
        <v>50</v>
      </c>
      <c r="M239" s="41"/>
      <c r="N239" s="103"/>
      <c r="O239" s="37"/>
      <c r="P239" s="41"/>
      <c r="Q239" s="41"/>
      <c r="R239" s="41"/>
      <c r="S239" s="41"/>
      <c r="T239" s="102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0"/>
    </row>
    <row r="240" spans="1:31" hidden="1" x14ac:dyDescent="0.25">
      <c r="A240" s="41">
        <f t="shared" si="3"/>
        <v>239</v>
      </c>
      <c r="B240" s="41" t="s">
        <v>163</v>
      </c>
      <c r="C240" s="41" t="s">
        <v>106</v>
      </c>
      <c r="D240" s="41" t="s">
        <v>509</v>
      </c>
      <c r="E240" s="43" t="s">
        <v>171</v>
      </c>
      <c r="F240" s="41" t="s">
        <v>172</v>
      </c>
      <c r="G240" s="41" t="s">
        <v>172</v>
      </c>
      <c r="H240" s="41" t="s">
        <v>169</v>
      </c>
      <c r="I240" s="44">
        <v>18000</v>
      </c>
      <c r="J240" s="41">
        <v>360</v>
      </c>
      <c r="K240" s="100">
        <v>0.28000000000000003</v>
      </c>
      <c r="L240" s="51">
        <v>50</v>
      </c>
      <c r="M240" s="41"/>
      <c r="N240" s="103"/>
      <c r="O240" s="37"/>
      <c r="P240" s="41"/>
      <c r="Q240" s="41"/>
      <c r="R240" s="41"/>
      <c r="S240" s="41"/>
      <c r="T240" s="102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0"/>
    </row>
    <row r="241" spans="1:31" hidden="1" x14ac:dyDescent="0.25">
      <c r="A241" s="41">
        <f t="shared" si="3"/>
        <v>240</v>
      </c>
      <c r="B241" s="41" t="s">
        <v>163</v>
      </c>
      <c r="C241" s="41" t="s">
        <v>106</v>
      </c>
      <c r="D241" s="41" t="s">
        <v>510</v>
      </c>
      <c r="E241" s="43" t="s">
        <v>171</v>
      </c>
      <c r="F241" s="43" t="s">
        <v>181</v>
      </c>
      <c r="G241" s="41" t="s">
        <v>511</v>
      </c>
      <c r="H241" s="41" t="s">
        <v>169</v>
      </c>
      <c r="I241" s="44">
        <v>18000</v>
      </c>
      <c r="J241" s="41">
        <v>360</v>
      </c>
      <c r="K241" s="100">
        <v>0.55000000000000004</v>
      </c>
      <c r="L241" s="51">
        <v>50</v>
      </c>
      <c r="M241" s="41"/>
      <c r="N241" s="103"/>
      <c r="O241" s="37"/>
      <c r="P241" s="41"/>
      <c r="Q241" s="41"/>
      <c r="R241" s="41"/>
      <c r="S241" s="41"/>
      <c r="T241" s="102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0"/>
    </row>
    <row r="242" spans="1:31" hidden="1" x14ac:dyDescent="0.25">
      <c r="A242" s="41">
        <f t="shared" si="3"/>
        <v>241</v>
      </c>
      <c r="B242" s="41" t="s">
        <v>163</v>
      </c>
      <c r="C242" s="41" t="s">
        <v>106</v>
      </c>
      <c r="D242" s="41" t="s">
        <v>512</v>
      </c>
      <c r="E242" s="43" t="s">
        <v>171</v>
      </c>
      <c r="F242" s="43" t="s">
        <v>181</v>
      </c>
      <c r="G242" s="41" t="s">
        <v>184</v>
      </c>
      <c r="H242" s="41" t="s">
        <v>169</v>
      </c>
      <c r="I242" s="44">
        <v>12000</v>
      </c>
      <c r="J242" s="45">
        <v>240</v>
      </c>
      <c r="K242" s="100">
        <v>0.4</v>
      </c>
      <c r="L242" s="51">
        <v>50</v>
      </c>
      <c r="M242" s="41"/>
      <c r="N242" s="103"/>
      <c r="O242" s="37"/>
      <c r="P242" s="41"/>
      <c r="Q242" s="41"/>
      <c r="R242" s="41"/>
      <c r="S242" s="41"/>
      <c r="T242" s="102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0"/>
    </row>
    <row r="243" spans="1:31" hidden="1" x14ac:dyDescent="0.25">
      <c r="A243" s="41">
        <f t="shared" si="3"/>
        <v>242</v>
      </c>
      <c r="B243" s="41" t="s">
        <v>163</v>
      </c>
      <c r="C243" s="41" t="s">
        <v>106</v>
      </c>
      <c r="D243" s="41" t="s">
        <v>513</v>
      </c>
      <c r="E243" s="43" t="s">
        <v>171</v>
      </c>
      <c r="F243" s="43" t="s">
        <v>181</v>
      </c>
      <c r="G243" s="41" t="s">
        <v>184</v>
      </c>
      <c r="H243" s="41" t="s">
        <v>169</v>
      </c>
      <c r="I243" s="44">
        <v>18000</v>
      </c>
      <c r="J243" s="45">
        <v>360</v>
      </c>
      <c r="K243" s="100">
        <v>1</v>
      </c>
      <c r="L243" s="51">
        <v>50</v>
      </c>
      <c r="M243" s="41"/>
      <c r="N243" s="103"/>
      <c r="O243" s="37"/>
      <c r="P243" s="41"/>
      <c r="Q243" s="41"/>
      <c r="R243" s="41"/>
      <c r="S243" s="41"/>
      <c r="T243" s="102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0"/>
    </row>
    <row r="244" spans="1:31" hidden="1" x14ac:dyDescent="0.25">
      <c r="A244" s="41">
        <f t="shared" si="3"/>
        <v>243</v>
      </c>
      <c r="B244" s="41" t="s">
        <v>163</v>
      </c>
      <c r="C244" s="41" t="s">
        <v>123</v>
      </c>
      <c r="D244" s="41" t="s">
        <v>514</v>
      </c>
      <c r="E244" s="43" t="s">
        <v>166</v>
      </c>
      <c r="F244" s="43" t="s">
        <v>167</v>
      </c>
      <c r="G244" s="41" t="s">
        <v>168</v>
      </c>
      <c r="H244" s="41" t="s">
        <v>169</v>
      </c>
      <c r="I244" s="44">
        <v>13000</v>
      </c>
      <c r="J244" s="41">
        <v>209</v>
      </c>
      <c r="K244" s="100">
        <v>0.96</v>
      </c>
      <c r="L244" s="55">
        <v>62.200956937799042</v>
      </c>
      <c r="M244" s="41"/>
      <c r="N244" s="103"/>
      <c r="O244" s="37"/>
      <c r="P244" s="41"/>
      <c r="Q244" s="41"/>
      <c r="R244" s="41"/>
      <c r="S244" s="41"/>
      <c r="T244" s="102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0"/>
    </row>
    <row r="245" spans="1:31" hidden="1" x14ac:dyDescent="0.25">
      <c r="A245" s="41">
        <f t="shared" si="3"/>
        <v>244</v>
      </c>
      <c r="B245" s="41" t="s">
        <v>163</v>
      </c>
      <c r="C245" s="41" t="s">
        <v>515</v>
      </c>
      <c r="D245" s="42" t="s">
        <v>516</v>
      </c>
      <c r="E245" s="43" t="s">
        <v>171</v>
      </c>
      <c r="F245" s="41" t="s">
        <v>198</v>
      </c>
      <c r="G245" s="41" t="s">
        <v>224</v>
      </c>
      <c r="H245" s="41" t="s">
        <v>169</v>
      </c>
      <c r="I245" s="44">
        <v>160000</v>
      </c>
      <c r="J245" s="41">
        <v>3120</v>
      </c>
      <c r="K245" s="100">
        <v>0.3</v>
      </c>
      <c r="L245" s="51">
        <v>50</v>
      </c>
      <c r="M245" s="106">
        <v>2456</v>
      </c>
      <c r="N245" s="103"/>
      <c r="O245" s="37">
        <v>45873</v>
      </c>
      <c r="P245" s="41"/>
      <c r="Q245" s="41" t="s">
        <v>898</v>
      </c>
      <c r="R245" s="41"/>
      <c r="S245" s="41"/>
      <c r="T245" s="107">
        <v>8500</v>
      </c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0"/>
    </row>
    <row r="246" spans="1:31" hidden="1" x14ac:dyDescent="0.25">
      <c r="A246" s="41">
        <f t="shared" si="3"/>
        <v>245</v>
      </c>
      <c r="B246" s="41" t="s">
        <v>163</v>
      </c>
      <c r="C246" s="41" t="s">
        <v>515</v>
      </c>
      <c r="D246" s="42" t="s">
        <v>517</v>
      </c>
      <c r="E246" s="43" t="s">
        <v>166</v>
      </c>
      <c r="F246" s="41" t="s">
        <v>167</v>
      </c>
      <c r="G246" s="41"/>
      <c r="H246" s="41" t="s">
        <v>169</v>
      </c>
      <c r="I246" s="44">
        <v>325000</v>
      </c>
      <c r="J246" s="41">
        <v>6500</v>
      </c>
      <c r="K246" s="100">
        <v>1</v>
      </c>
      <c r="L246" s="51">
        <v>50</v>
      </c>
      <c r="M246" s="106">
        <v>6340</v>
      </c>
      <c r="N246" s="103"/>
      <c r="O246" s="37">
        <v>45873</v>
      </c>
      <c r="P246" s="41"/>
      <c r="Q246" s="41"/>
      <c r="R246" s="41"/>
      <c r="S246" s="41"/>
      <c r="T246" s="107">
        <v>9500</v>
      </c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0"/>
    </row>
    <row r="247" spans="1:31" hidden="1" x14ac:dyDescent="0.25">
      <c r="A247" s="41">
        <f t="shared" si="3"/>
        <v>246</v>
      </c>
      <c r="B247" s="41" t="s">
        <v>163</v>
      </c>
      <c r="C247" s="41" t="s">
        <v>515</v>
      </c>
      <c r="D247" s="42" t="s">
        <v>518</v>
      </c>
      <c r="E247" s="43" t="s">
        <v>166</v>
      </c>
      <c r="F247" s="41" t="s">
        <v>176</v>
      </c>
      <c r="G247" s="41"/>
      <c r="H247" s="41" t="s">
        <v>248</v>
      </c>
      <c r="I247" s="44">
        <v>10000</v>
      </c>
      <c r="J247" s="41">
        <v>30</v>
      </c>
      <c r="K247" s="100">
        <v>1</v>
      </c>
      <c r="L247" s="51"/>
      <c r="M247" s="41"/>
      <c r="N247" s="103"/>
      <c r="O247" s="37"/>
      <c r="P247" s="41"/>
      <c r="Q247" s="41"/>
      <c r="R247" s="41"/>
      <c r="S247" s="41"/>
      <c r="T247" s="102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0"/>
    </row>
    <row r="248" spans="1:31" hidden="1" x14ac:dyDescent="0.25">
      <c r="A248" s="41">
        <f t="shared" si="3"/>
        <v>247</v>
      </c>
      <c r="B248" s="41" t="s">
        <v>163</v>
      </c>
      <c r="C248" s="41" t="s">
        <v>519</v>
      </c>
      <c r="D248" s="42" t="s">
        <v>520</v>
      </c>
      <c r="E248" s="43" t="s">
        <v>171</v>
      </c>
      <c r="F248" s="43" t="s">
        <v>167</v>
      </c>
      <c r="G248" s="41" t="s">
        <v>240</v>
      </c>
      <c r="H248" s="41" t="s">
        <v>169</v>
      </c>
      <c r="I248" s="44">
        <v>71100</v>
      </c>
      <c r="J248" s="41">
        <v>1777.5</v>
      </c>
      <c r="K248" s="100">
        <v>0.93728908886389206</v>
      </c>
      <c r="L248" s="51">
        <v>40</v>
      </c>
      <c r="M248" s="106">
        <v>10</v>
      </c>
      <c r="N248" s="103"/>
      <c r="O248" s="37">
        <v>45881</v>
      </c>
      <c r="P248" s="41"/>
      <c r="Q248" s="41"/>
      <c r="R248" s="41">
        <v>10</v>
      </c>
      <c r="S248" s="41"/>
      <c r="T248" s="102" t="s">
        <v>903</v>
      </c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0"/>
    </row>
    <row r="249" spans="1:31" x14ac:dyDescent="0.25">
      <c r="A249" s="41">
        <f t="shared" si="3"/>
        <v>248</v>
      </c>
      <c r="B249" s="41" t="s">
        <v>163</v>
      </c>
      <c r="C249" s="41" t="s">
        <v>519</v>
      </c>
      <c r="D249" s="42" t="s">
        <v>521</v>
      </c>
      <c r="E249" s="43" t="s">
        <v>171</v>
      </c>
      <c r="F249" s="43" t="s">
        <v>167</v>
      </c>
      <c r="G249" s="41" t="s">
        <v>272</v>
      </c>
      <c r="H249" s="41" t="s">
        <v>169</v>
      </c>
      <c r="I249" s="44">
        <v>75000</v>
      </c>
      <c r="J249" s="41">
        <v>1875</v>
      </c>
      <c r="K249" s="100">
        <v>0.1104</v>
      </c>
      <c r="L249" s="51">
        <v>40</v>
      </c>
      <c r="M249" s="109">
        <v>0</v>
      </c>
      <c r="N249" s="103"/>
      <c r="O249" s="37">
        <v>45881</v>
      </c>
      <c r="P249" s="41"/>
      <c r="Q249" s="41"/>
      <c r="R249" s="41"/>
      <c r="S249" s="41"/>
      <c r="T249" s="102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0"/>
    </row>
    <row r="250" spans="1:31" hidden="1" x14ac:dyDescent="0.25">
      <c r="A250" s="41">
        <f t="shared" si="3"/>
        <v>249</v>
      </c>
      <c r="B250" s="41" t="s">
        <v>163</v>
      </c>
      <c r="C250" s="41" t="s">
        <v>519</v>
      </c>
      <c r="D250" s="42" t="s">
        <v>522</v>
      </c>
      <c r="E250" s="43" t="s">
        <v>171</v>
      </c>
      <c r="F250" s="43" t="s">
        <v>167</v>
      </c>
      <c r="G250" s="41" t="s">
        <v>523</v>
      </c>
      <c r="H250" s="41" t="s">
        <v>169</v>
      </c>
      <c r="I250" s="44">
        <v>70000</v>
      </c>
      <c r="J250" s="41">
        <v>1750</v>
      </c>
      <c r="K250" s="100">
        <v>0.91600000000000004</v>
      </c>
      <c r="L250" s="51">
        <v>40</v>
      </c>
      <c r="M250" s="106">
        <v>16</v>
      </c>
      <c r="N250" s="103"/>
      <c r="O250" s="37">
        <v>45881</v>
      </c>
      <c r="P250" s="41"/>
      <c r="Q250" s="41"/>
      <c r="R250" s="41"/>
      <c r="S250" s="41">
        <v>16</v>
      </c>
      <c r="T250" s="102" t="s">
        <v>903</v>
      </c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0"/>
    </row>
    <row r="251" spans="1:31" x14ac:dyDescent="0.25">
      <c r="A251" s="41">
        <f t="shared" si="3"/>
        <v>250</v>
      </c>
      <c r="B251" s="41" t="s">
        <v>163</v>
      </c>
      <c r="C251" s="41" t="s">
        <v>519</v>
      </c>
      <c r="D251" s="42" t="s">
        <v>524</v>
      </c>
      <c r="E251" s="43" t="s">
        <v>171</v>
      </c>
      <c r="F251" s="43" t="s">
        <v>167</v>
      </c>
      <c r="G251" s="41" t="s">
        <v>450</v>
      </c>
      <c r="H251" s="41" t="s">
        <v>169</v>
      </c>
      <c r="I251" s="44">
        <v>98978</v>
      </c>
      <c r="J251" s="41">
        <v>2474.4499999999998</v>
      </c>
      <c r="K251" s="100">
        <v>1</v>
      </c>
      <c r="L251" s="51">
        <v>40</v>
      </c>
      <c r="M251" s="109">
        <v>0</v>
      </c>
      <c r="N251" s="103"/>
      <c r="O251" s="37">
        <v>45881</v>
      </c>
      <c r="P251" s="41"/>
      <c r="Q251" s="41"/>
      <c r="R251" s="41"/>
      <c r="S251" s="41"/>
      <c r="T251" s="102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0"/>
    </row>
    <row r="252" spans="1:31" x14ac:dyDescent="0.25">
      <c r="A252" s="41">
        <f t="shared" si="3"/>
        <v>251</v>
      </c>
      <c r="B252" s="41" t="s">
        <v>163</v>
      </c>
      <c r="C252" s="41" t="s">
        <v>519</v>
      </c>
      <c r="D252" s="42" t="s">
        <v>525</v>
      </c>
      <c r="E252" s="43" t="s">
        <v>171</v>
      </c>
      <c r="F252" s="43" t="s">
        <v>167</v>
      </c>
      <c r="G252" s="41" t="s">
        <v>450</v>
      </c>
      <c r="H252" s="41" t="s">
        <v>169</v>
      </c>
      <c r="I252" s="44">
        <v>58920</v>
      </c>
      <c r="J252" s="41">
        <v>1473</v>
      </c>
      <c r="K252" s="100">
        <v>1</v>
      </c>
      <c r="L252" s="51">
        <v>40</v>
      </c>
      <c r="M252" s="109">
        <v>0</v>
      </c>
      <c r="N252" s="103"/>
      <c r="O252" s="37">
        <v>45881</v>
      </c>
      <c r="P252" s="41"/>
      <c r="Q252" s="41"/>
      <c r="R252" s="41"/>
      <c r="S252" s="41"/>
      <c r="T252" s="102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0"/>
    </row>
    <row r="253" spans="1:31" x14ac:dyDescent="0.25">
      <c r="A253" s="41">
        <f t="shared" si="3"/>
        <v>252</v>
      </c>
      <c r="B253" s="41" t="s">
        <v>163</v>
      </c>
      <c r="C253" s="41" t="s">
        <v>519</v>
      </c>
      <c r="D253" s="42" t="s">
        <v>526</v>
      </c>
      <c r="E253" s="43" t="s">
        <v>166</v>
      </c>
      <c r="F253" s="43" t="s">
        <v>167</v>
      </c>
      <c r="G253" s="41" t="s">
        <v>293</v>
      </c>
      <c r="H253" s="41" t="s">
        <v>169</v>
      </c>
      <c r="I253" s="44">
        <v>115000</v>
      </c>
      <c r="J253" s="41">
        <v>2875</v>
      </c>
      <c r="K253" s="100">
        <v>0.86608695652173917</v>
      </c>
      <c r="L253" s="51">
        <v>40</v>
      </c>
      <c r="M253" s="109">
        <v>0</v>
      </c>
      <c r="N253" s="103"/>
      <c r="O253" s="37">
        <v>45881</v>
      </c>
      <c r="P253" s="41"/>
      <c r="Q253" s="41"/>
      <c r="R253" s="41"/>
      <c r="S253" s="41"/>
      <c r="T253" s="102" t="s">
        <v>900</v>
      </c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0"/>
    </row>
    <row r="254" spans="1:31" x14ac:dyDescent="0.25">
      <c r="A254" s="41">
        <f t="shared" si="3"/>
        <v>253</v>
      </c>
      <c r="B254" s="41" t="s">
        <v>163</v>
      </c>
      <c r="C254" s="41" t="s">
        <v>519</v>
      </c>
      <c r="D254" s="42" t="s">
        <v>527</v>
      </c>
      <c r="E254" s="43" t="s">
        <v>171</v>
      </c>
      <c r="F254" s="43" t="s">
        <v>167</v>
      </c>
      <c r="G254" s="41" t="s">
        <v>293</v>
      </c>
      <c r="H254" s="41" t="s">
        <v>169</v>
      </c>
      <c r="I254" s="44">
        <v>171000</v>
      </c>
      <c r="J254" s="41">
        <v>4275</v>
      </c>
      <c r="K254" s="100">
        <v>0.8790643274853801</v>
      </c>
      <c r="L254" s="51">
        <v>40</v>
      </c>
      <c r="M254" s="109">
        <v>0</v>
      </c>
      <c r="N254" s="103"/>
      <c r="O254" s="37">
        <v>45881</v>
      </c>
      <c r="P254" s="41"/>
      <c r="Q254" s="41"/>
      <c r="R254" s="41"/>
      <c r="S254" s="41"/>
      <c r="T254" s="102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0"/>
    </row>
    <row r="255" spans="1:31" hidden="1" x14ac:dyDescent="0.25">
      <c r="A255" s="41">
        <f t="shared" si="3"/>
        <v>254</v>
      </c>
      <c r="B255" s="41" t="s">
        <v>163</v>
      </c>
      <c r="C255" s="41" t="s">
        <v>519</v>
      </c>
      <c r="D255" s="42" t="s">
        <v>528</v>
      </c>
      <c r="E255" s="43" t="s">
        <v>171</v>
      </c>
      <c r="F255" s="43" t="s">
        <v>167</v>
      </c>
      <c r="G255" s="41" t="s">
        <v>293</v>
      </c>
      <c r="H255" s="41" t="s">
        <v>169</v>
      </c>
      <c r="I255" s="44">
        <v>162067</v>
      </c>
      <c r="J255" s="41">
        <v>4051.6750000000002</v>
      </c>
      <c r="K255" s="100">
        <v>0.69365128331688064</v>
      </c>
      <c r="L255" s="51">
        <v>40</v>
      </c>
      <c r="M255" s="106">
        <v>25</v>
      </c>
      <c r="N255" s="103"/>
      <c r="O255" s="37">
        <v>45881</v>
      </c>
      <c r="P255" s="41"/>
      <c r="Q255" s="41"/>
      <c r="R255" s="41">
        <v>9</v>
      </c>
      <c r="S255" s="41">
        <v>16</v>
      </c>
      <c r="T255" s="102" t="s">
        <v>906</v>
      </c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0"/>
    </row>
    <row r="256" spans="1:31" x14ac:dyDescent="0.25">
      <c r="A256" s="41">
        <f t="shared" si="3"/>
        <v>255</v>
      </c>
      <c r="B256" s="41" t="s">
        <v>163</v>
      </c>
      <c r="C256" s="41" t="s">
        <v>519</v>
      </c>
      <c r="D256" s="42" t="s">
        <v>529</v>
      </c>
      <c r="E256" s="43" t="s">
        <v>166</v>
      </c>
      <c r="F256" s="43" t="s">
        <v>167</v>
      </c>
      <c r="G256" s="41" t="s">
        <v>293</v>
      </c>
      <c r="H256" s="41" t="s">
        <v>248</v>
      </c>
      <c r="I256" s="44">
        <v>100000</v>
      </c>
      <c r="J256" s="41">
        <v>2500</v>
      </c>
      <c r="K256" s="100">
        <v>1</v>
      </c>
      <c r="L256" s="51">
        <v>40</v>
      </c>
      <c r="M256" s="109">
        <v>0</v>
      </c>
      <c r="N256" s="103"/>
      <c r="O256" s="37">
        <v>45881</v>
      </c>
      <c r="P256" s="41"/>
      <c r="Q256" s="41"/>
      <c r="R256" s="41"/>
      <c r="S256" s="41"/>
      <c r="T256" s="102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0"/>
    </row>
    <row r="257" spans="1:31" x14ac:dyDescent="0.25">
      <c r="A257" s="41">
        <f t="shared" si="3"/>
        <v>256</v>
      </c>
      <c r="B257" s="41" t="s">
        <v>163</v>
      </c>
      <c r="C257" s="41" t="s">
        <v>519</v>
      </c>
      <c r="D257" s="42" t="s">
        <v>530</v>
      </c>
      <c r="E257" s="43" t="s">
        <v>171</v>
      </c>
      <c r="F257" s="43" t="s">
        <v>167</v>
      </c>
      <c r="G257" s="41" t="s">
        <v>293</v>
      </c>
      <c r="H257" s="41" t="s">
        <v>169</v>
      </c>
      <c r="I257" s="44">
        <v>44800</v>
      </c>
      <c r="J257" s="41">
        <v>1120</v>
      </c>
      <c r="K257" s="100">
        <v>1</v>
      </c>
      <c r="L257" s="51">
        <v>40</v>
      </c>
      <c r="M257" s="109">
        <v>0</v>
      </c>
      <c r="N257" s="103"/>
      <c r="O257" s="37">
        <v>45881</v>
      </c>
      <c r="P257" s="41"/>
      <c r="Q257" s="41"/>
      <c r="R257" s="41"/>
      <c r="S257" s="41"/>
      <c r="T257" s="102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0"/>
    </row>
    <row r="258" spans="1:31" x14ac:dyDescent="0.25">
      <c r="A258" s="41">
        <f t="shared" si="3"/>
        <v>257</v>
      </c>
      <c r="B258" s="41" t="s">
        <v>163</v>
      </c>
      <c r="C258" s="41" t="s">
        <v>519</v>
      </c>
      <c r="D258" s="42" t="s">
        <v>531</v>
      </c>
      <c r="E258" s="43" t="s">
        <v>171</v>
      </c>
      <c r="F258" s="43" t="s">
        <v>167</v>
      </c>
      <c r="G258" s="41" t="s">
        <v>247</v>
      </c>
      <c r="H258" s="41" t="s">
        <v>169</v>
      </c>
      <c r="I258" s="44">
        <v>48500</v>
      </c>
      <c r="J258" s="41">
        <v>1212.5</v>
      </c>
      <c r="K258" s="100">
        <v>0.75886232481450944</v>
      </c>
      <c r="L258" s="51">
        <v>40</v>
      </c>
      <c r="M258" s="109">
        <v>0</v>
      </c>
      <c r="N258" s="103"/>
      <c r="O258" s="37">
        <v>45881</v>
      </c>
      <c r="P258" s="41"/>
      <c r="Q258" s="41"/>
      <c r="R258" s="41"/>
      <c r="S258" s="41"/>
      <c r="T258" s="102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0"/>
    </row>
    <row r="259" spans="1:31" hidden="1" x14ac:dyDescent="0.25">
      <c r="A259" s="41">
        <f t="shared" si="3"/>
        <v>258</v>
      </c>
      <c r="B259" s="41" t="s">
        <v>163</v>
      </c>
      <c r="C259" s="41" t="s">
        <v>519</v>
      </c>
      <c r="D259" s="42" t="s">
        <v>532</v>
      </c>
      <c r="E259" s="43" t="s">
        <v>171</v>
      </c>
      <c r="F259" s="43" t="s">
        <v>167</v>
      </c>
      <c r="G259" s="41" t="s">
        <v>247</v>
      </c>
      <c r="H259" s="41" t="s">
        <v>169</v>
      </c>
      <c r="I259" s="44">
        <v>80555</v>
      </c>
      <c r="J259" s="41">
        <v>2013.875</v>
      </c>
      <c r="K259" s="100">
        <v>1</v>
      </c>
      <c r="L259" s="51">
        <v>40</v>
      </c>
      <c r="M259" s="106">
        <v>31</v>
      </c>
      <c r="N259" s="103"/>
      <c r="O259" s="37">
        <v>45881</v>
      </c>
      <c r="P259" s="41"/>
      <c r="Q259" s="41"/>
      <c r="R259" s="41">
        <v>31</v>
      </c>
      <c r="S259" s="41"/>
      <c r="T259" s="107">
        <v>11000</v>
      </c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0"/>
    </row>
    <row r="260" spans="1:31" x14ac:dyDescent="0.25">
      <c r="A260" s="41">
        <f t="shared" ref="A260:A323" si="4">A259+1</f>
        <v>259</v>
      </c>
      <c r="B260" s="41" t="s">
        <v>163</v>
      </c>
      <c r="C260" s="41" t="s">
        <v>519</v>
      </c>
      <c r="D260" s="42" t="s">
        <v>533</v>
      </c>
      <c r="E260" s="43" t="s">
        <v>171</v>
      </c>
      <c r="F260" s="43" t="s">
        <v>167</v>
      </c>
      <c r="G260" s="41" t="s">
        <v>293</v>
      </c>
      <c r="H260" s="41" t="s">
        <v>248</v>
      </c>
      <c r="I260" s="44">
        <v>301000</v>
      </c>
      <c r="J260" s="41">
        <v>7525</v>
      </c>
      <c r="K260" s="100">
        <v>1</v>
      </c>
      <c r="L260" s="51">
        <v>40</v>
      </c>
      <c r="M260" s="109">
        <v>0</v>
      </c>
      <c r="N260" s="103"/>
      <c r="O260" s="37">
        <v>45881</v>
      </c>
      <c r="P260" s="41"/>
      <c r="Q260" s="41"/>
      <c r="R260" s="41"/>
      <c r="S260" s="41"/>
      <c r="T260" s="102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0"/>
    </row>
    <row r="261" spans="1:31" hidden="1" x14ac:dyDescent="0.25">
      <c r="A261" s="41">
        <f t="shared" si="4"/>
        <v>260</v>
      </c>
      <c r="B261" s="41" t="s">
        <v>163</v>
      </c>
      <c r="C261" s="41" t="s">
        <v>519</v>
      </c>
      <c r="D261" s="42" t="s">
        <v>534</v>
      </c>
      <c r="E261" s="43" t="s">
        <v>171</v>
      </c>
      <c r="F261" s="43" t="s">
        <v>181</v>
      </c>
      <c r="G261" s="41" t="s">
        <v>448</v>
      </c>
      <c r="H261" s="41" t="s">
        <v>169</v>
      </c>
      <c r="I261" s="44">
        <v>30000</v>
      </c>
      <c r="J261" s="41">
        <v>750</v>
      </c>
      <c r="K261" s="100">
        <v>0.8666666666666667</v>
      </c>
      <c r="L261" s="51">
        <v>40</v>
      </c>
      <c r="M261" s="106">
        <v>51</v>
      </c>
      <c r="N261" s="103"/>
      <c r="O261" s="37">
        <v>45881</v>
      </c>
      <c r="P261" s="41"/>
      <c r="Q261" s="41"/>
      <c r="R261" s="41">
        <v>12</v>
      </c>
      <c r="S261" s="41">
        <v>16</v>
      </c>
      <c r="T261" s="102" t="s">
        <v>899</v>
      </c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0"/>
    </row>
    <row r="262" spans="1:31" x14ac:dyDescent="0.25">
      <c r="A262" s="41">
        <f t="shared" si="4"/>
        <v>261</v>
      </c>
      <c r="B262" s="41" t="s">
        <v>163</v>
      </c>
      <c r="C262" s="41" t="s">
        <v>519</v>
      </c>
      <c r="D262" s="42" t="s">
        <v>535</v>
      </c>
      <c r="E262" s="43" t="s">
        <v>166</v>
      </c>
      <c r="F262" s="43" t="s">
        <v>181</v>
      </c>
      <c r="G262" s="41" t="s">
        <v>448</v>
      </c>
      <c r="H262" s="41" t="s">
        <v>169</v>
      </c>
      <c r="I262" s="44">
        <v>202151</v>
      </c>
      <c r="J262" s="41">
        <v>5053.7749999999996</v>
      </c>
      <c r="K262" s="100">
        <v>0.9035961614562722</v>
      </c>
      <c r="L262" s="51">
        <v>40</v>
      </c>
      <c r="M262" s="109">
        <v>0</v>
      </c>
      <c r="N262" s="103"/>
      <c r="O262" s="37">
        <v>45881</v>
      </c>
      <c r="P262" s="41"/>
      <c r="Q262" s="41"/>
      <c r="R262" s="41"/>
      <c r="S262" s="41"/>
      <c r="T262" s="102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0"/>
    </row>
    <row r="263" spans="1:31" x14ac:dyDescent="0.25">
      <c r="A263" s="41">
        <f t="shared" si="4"/>
        <v>262</v>
      </c>
      <c r="B263" s="41" t="s">
        <v>163</v>
      </c>
      <c r="C263" s="41" t="s">
        <v>519</v>
      </c>
      <c r="D263" s="42" t="s">
        <v>536</v>
      </c>
      <c r="E263" s="43" t="s">
        <v>171</v>
      </c>
      <c r="F263" s="43" t="s">
        <v>181</v>
      </c>
      <c r="G263" s="41" t="s">
        <v>448</v>
      </c>
      <c r="H263" s="41" t="s">
        <v>169</v>
      </c>
      <c r="I263" s="44">
        <v>60000</v>
      </c>
      <c r="J263" s="41">
        <v>1500</v>
      </c>
      <c r="K263" s="100">
        <v>0.78</v>
      </c>
      <c r="L263" s="51">
        <v>40</v>
      </c>
      <c r="M263" s="109">
        <v>0</v>
      </c>
      <c r="N263" s="103"/>
      <c r="O263" s="37">
        <v>45881</v>
      </c>
      <c r="P263" s="41"/>
      <c r="Q263" s="41"/>
      <c r="R263" s="41"/>
      <c r="S263" s="41"/>
      <c r="T263" s="102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0"/>
    </row>
    <row r="264" spans="1:31" hidden="1" x14ac:dyDescent="0.25">
      <c r="A264" s="41">
        <f t="shared" si="4"/>
        <v>263</v>
      </c>
      <c r="B264" s="41" t="s">
        <v>163</v>
      </c>
      <c r="C264" s="41" t="s">
        <v>519</v>
      </c>
      <c r="D264" s="42" t="s">
        <v>537</v>
      </c>
      <c r="E264" s="43" t="s">
        <v>166</v>
      </c>
      <c r="F264" s="41" t="s">
        <v>172</v>
      </c>
      <c r="G264" s="41" t="s">
        <v>538</v>
      </c>
      <c r="H264" s="41" t="s">
        <v>169</v>
      </c>
      <c r="I264" s="44">
        <v>84104</v>
      </c>
      <c r="J264" s="41">
        <v>2102.6</v>
      </c>
      <c r="K264" s="100">
        <v>1</v>
      </c>
      <c r="L264" s="51">
        <v>40</v>
      </c>
      <c r="M264" s="106">
        <v>63</v>
      </c>
      <c r="N264" s="103"/>
      <c r="O264" s="37">
        <v>45881</v>
      </c>
      <c r="P264" s="41"/>
      <c r="Q264" s="41"/>
      <c r="R264" s="41"/>
      <c r="S264" s="41"/>
      <c r="T264" s="102" t="s">
        <v>902</v>
      </c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0"/>
    </row>
    <row r="265" spans="1:31" x14ac:dyDescent="0.25">
      <c r="A265" s="41">
        <f t="shared" si="4"/>
        <v>264</v>
      </c>
      <c r="B265" s="41" t="s">
        <v>163</v>
      </c>
      <c r="C265" s="41" t="s">
        <v>519</v>
      </c>
      <c r="D265" s="42" t="s">
        <v>539</v>
      </c>
      <c r="E265" s="43" t="s">
        <v>171</v>
      </c>
      <c r="F265" s="41" t="s">
        <v>172</v>
      </c>
      <c r="G265" s="41" t="s">
        <v>538</v>
      </c>
      <c r="H265" s="41" t="s">
        <v>169</v>
      </c>
      <c r="I265" s="44">
        <v>25000</v>
      </c>
      <c r="J265" s="41">
        <v>625</v>
      </c>
      <c r="K265" s="100">
        <v>1</v>
      </c>
      <c r="L265" s="51">
        <v>40</v>
      </c>
      <c r="M265" s="109">
        <v>0</v>
      </c>
      <c r="N265" s="103"/>
      <c r="O265" s="37">
        <v>45881</v>
      </c>
      <c r="P265" s="41"/>
      <c r="Q265" s="41"/>
      <c r="R265" s="41"/>
      <c r="S265" s="41"/>
      <c r="T265" s="102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0"/>
    </row>
    <row r="266" spans="1:31" x14ac:dyDescent="0.25">
      <c r="A266" s="41">
        <f t="shared" si="4"/>
        <v>265</v>
      </c>
      <c r="B266" s="41" t="s">
        <v>163</v>
      </c>
      <c r="C266" s="41" t="s">
        <v>519</v>
      </c>
      <c r="D266" s="42" t="s">
        <v>230</v>
      </c>
      <c r="E266" s="43" t="s">
        <v>171</v>
      </c>
      <c r="F266" s="41" t="s">
        <v>172</v>
      </c>
      <c r="G266" s="41" t="s">
        <v>538</v>
      </c>
      <c r="H266" s="41" t="s">
        <v>169</v>
      </c>
      <c r="I266" s="44">
        <v>15970</v>
      </c>
      <c r="J266" s="41">
        <v>399.25</v>
      </c>
      <c r="K266" s="100">
        <v>1</v>
      </c>
      <c r="L266" s="51">
        <v>40</v>
      </c>
      <c r="M266" s="106">
        <v>8</v>
      </c>
      <c r="N266" s="103"/>
      <c r="O266" s="37">
        <v>45881</v>
      </c>
      <c r="P266" s="41"/>
      <c r="Q266" s="41"/>
      <c r="R266" s="41"/>
      <c r="S266" s="41"/>
      <c r="T266" s="102" t="s">
        <v>904</v>
      </c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0"/>
    </row>
    <row r="267" spans="1:31" x14ac:dyDescent="0.25">
      <c r="A267" s="41">
        <f t="shared" si="4"/>
        <v>266</v>
      </c>
      <c r="B267" s="41" t="s">
        <v>163</v>
      </c>
      <c r="C267" s="41" t="s">
        <v>519</v>
      </c>
      <c r="D267" s="42" t="s">
        <v>540</v>
      </c>
      <c r="E267" s="43" t="s">
        <v>166</v>
      </c>
      <c r="F267" s="43" t="s">
        <v>181</v>
      </c>
      <c r="G267" s="41" t="s">
        <v>184</v>
      </c>
      <c r="H267" s="41" t="s">
        <v>169</v>
      </c>
      <c r="I267" s="44">
        <v>135822</v>
      </c>
      <c r="J267" s="45">
        <v>3395.55</v>
      </c>
      <c r="K267" s="100">
        <v>1</v>
      </c>
      <c r="L267" s="51">
        <v>40</v>
      </c>
      <c r="M267" s="109">
        <v>0</v>
      </c>
      <c r="N267" s="103"/>
      <c r="O267" s="37">
        <v>45881</v>
      </c>
      <c r="P267" s="41"/>
      <c r="Q267" s="41"/>
      <c r="R267" s="41"/>
      <c r="S267" s="41"/>
      <c r="T267" s="102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0"/>
    </row>
    <row r="268" spans="1:31" x14ac:dyDescent="0.25">
      <c r="A268" s="41">
        <f t="shared" si="4"/>
        <v>267</v>
      </c>
      <c r="B268" s="41" t="s">
        <v>163</v>
      </c>
      <c r="C268" s="41" t="s">
        <v>519</v>
      </c>
      <c r="D268" s="42" t="s">
        <v>541</v>
      </c>
      <c r="E268" s="43" t="s">
        <v>166</v>
      </c>
      <c r="F268" s="43" t="s">
        <v>181</v>
      </c>
      <c r="G268" s="41" t="s">
        <v>184</v>
      </c>
      <c r="H268" s="41" t="s">
        <v>169</v>
      </c>
      <c r="I268" s="44">
        <v>209162</v>
      </c>
      <c r="J268" s="45">
        <v>5229.05</v>
      </c>
      <c r="K268" s="100">
        <v>0.77128514056224906</v>
      </c>
      <c r="L268" s="51">
        <v>40</v>
      </c>
      <c r="M268" s="109">
        <v>0</v>
      </c>
      <c r="N268" s="103"/>
      <c r="O268" s="37">
        <v>45881</v>
      </c>
      <c r="P268" s="41"/>
      <c r="Q268" s="41"/>
      <c r="R268" s="41"/>
      <c r="S268" s="41"/>
      <c r="T268" s="102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0"/>
    </row>
    <row r="269" spans="1:31" x14ac:dyDescent="0.25">
      <c r="A269" s="41">
        <f t="shared" si="4"/>
        <v>268</v>
      </c>
      <c r="B269" s="41" t="s">
        <v>163</v>
      </c>
      <c r="C269" s="41" t="s">
        <v>519</v>
      </c>
      <c r="D269" s="42" t="s">
        <v>542</v>
      </c>
      <c r="E269" s="43" t="s">
        <v>166</v>
      </c>
      <c r="F269" s="43" t="s">
        <v>181</v>
      </c>
      <c r="G269" s="41" t="s">
        <v>184</v>
      </c>
      <c r="H269" s="41" t="s">
        <v>169</v>
      </c>
      <c r="I269" s="44">
        <v>67884</v>
      </c>
      <c r="J269" s="45">
        <v>1697.1</v>
      </c>
      <c r="K269" s="100">
        <v>1</v>
      </c>
      <c r="L269" s="51">
        <v>40</v>
      </c>
      <c r="M269" s="109">
        <v>0</v>
      </c>
      <c r="N269" s="103"/>
      <c r="O269" s="37">
        <v>45881</v>
      </c>
      <c r="P269" s="41"/>
      <c r="Q269" s="41"/>
      <c r="R269" s="41"/>
      <c r="S269" s="41"/>
      <c r="T269" s="102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0"/>
    </row>
    <row r="270" spans="1:31" x14ac:dyDescent="0.25">
      <c r="A270" s="41">
        <f t="shared" si="4"/>
        <v>269</v>
      </c>
      <c r="B270" s="41" t="s">
        <v>163</v>
      </c>
      <c r="C270" s="41" t="s">
        <v>519</v>
      </c>
      <c r="D270" s="42" t="s">
        <v>543</v>
      </c>
      <c r="E270" s="43" t="s">
        <v>171</v>
      </c>
      <c r="F270" s="43" t="s">
        <v>181</v>
      </c>
      <c r="G270" s="41" t="s">
        <v>184</v>
      </c>
      <c r="H270" s="41" t="s">
        <v>169</v>
      </c>
      <c r="I270" s="44">
        <v>26758</v>
      </c>
      <c r="J270" s="45">
        <v>668.95</v>
      </c>
      <c r="K270" s="100">
        <v>0.91023916292974594</v>
      </c>
      <c r="L270" s="51">
        <v>40</v>
      </c>
      <c r="M270" s="109">
        <v>0</v>
      </c>
      <c r="N270" s="103"/>
      <c r="O270" s="37">
        <v>45881</v>
      </c>
      <c r="P270" s="41"/>
      <c r="Q270" s="41"/>
      <c r="R270" s="41"/>
      <c r="S270" s="41"/>
      <c r="T270" s="102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0"/>
    </row>
    <row r="271" spans="1:31" hidden="1" x14ac:dyDescent="0.25">
      <c r="A271" s="41">
        <f t="shared" si="4"/>
        <v>270</v>
      </c>
      <c r="B271" s="41" t="s">
        <v>163</v>
      </c>
      <c r="C271" s="41" t="s">
        <v>519</v>
      </c>
      <c r="D271" s="42" t="s">
        <v>544</v>
      </c>
      <c r="E271" s="43" t="s">
        <v>166</v>
      </c>
      <c r="F271" s="43" t="s">
        <v>181</v>
      </c>
      <c r="G271" s="41" t="s">
        <v>184</v>
      </c>
      <c r="H271" s="41" t="s">
        <v>169</v>
      </c>
      <c r="I271" s="44">
        <v>19111</v>
      </c>
      <c r="J271" s="45">
        <v>477.77499999999998</v>
      </c>
      <c r="K271" s="100">
        <v>1</v>
      </c>
      <c r="L271" s="51">
        <v>40</v>
      </c>
      <c r="M271" s="106">
        <v>20</v>
      </c>
      <c r="N271" s="103"/>
      <c r="O271" s="37">
        <v>45881</v>
      </c>
      <c r="P271" s="41"/>
      <c r="Q271" s="41"/>
      <c r="R271" s="41">
        <v>20</v>
      </c>
      <c r="S271" s="41"/>
      <c r="T271" s="107">
        <v>9500</v>
      </c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0"/>
    </row>
    <row r="272" spans="1:31" ht="14.45" customHeight="1" x14ac:dyDescent="0.25">
      <c r="A272" s="41">
        <f t="shared" si="4"/>
        <v>271</v>
      </c>
      <c r="B272" s="41" t="s">
        <v>163</v>
      </c>
      <c r="C272" s="41" t="s">
        <v>519</v>
      </c>
      <c r="D272" s="42" t="s">
        <v>545</v>
      </c>
      <c r="E272" s="43" t="s">
        <v>171</v>
      </c>
      <c r="F272" s="43" t="s">
        <v>181</v>
      </c>
      <c r="G272" s="41" t="s">
        <v>184</v>
      </c>
      <c r="H272" s="41" t="s">
        <v>248</v>
      </c>
      <c r="I272" s="44">
        <v>21018</v>
      </c>
      <c r="J272" s="45">
        <v>525.45000000000005</v>
      </c>
      <c r="K272" s="100">
        <v>1</v>
      </c>
      <c r="L272" s="51">
        <v>40</v>
      </c>
      <c r="M272" s="109">
        <v>0</v>
      </c>
      <c r="N272" s="103"/>
      <c r="O272" s="37">
        <v>45881</v>
      </c>
      <c r="P272" s="41"/>
      <c r="Q272" s="41"/>
      <c r="R272" s="41"/>
      <c r="S272" s="41"/>
      <c r="T272" s="102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120" t="s">
        <v>1063</v>
      </c>
    </row>
    <row r="273" spans="1:31" x14ac:dyDescent="0.25">
      <c r="A273" s="41">
        <f t="shared" si="4"/>
        <v>272</v>
      </c>
      <c r="B273" s="41" t="s">
        <v>163</v>
      </c>
      <c r="C273" s="41" t="s">
        <v>519</v>
      </c>
      <c r="D273" s="42" t="s">
        <v>546</v>
      </c>
      <c r="E273" s="43" t="s">
        <v>171</v>
      </c>
      <c r="F273" s="43" t="s">
        <v>181</v>
      </c>
      <c r="G273" s="41" t="s">
        <v>184</v>
      </c>
      <c r="H273" s="41" t="s">
        <v>169</v>
      </c>
      <c r="I273" s="44">
        <v>39950</v>
      </c>
      <c r="J273" s="45">
        <v>998.75</v>
      </c>
      <c r="K273" s="100">
        <v>1</v>
      </c>
      <c r="L273" s="51">
        <v>40</v>
      </c>
      <c r="M273" s="109">
        <v>0</v>
      </c>
      <c r="N273" s="103"/>
      <c r="O273" s="37">
        <v>45881</v>
      </c>
      <c r="P273" s="41"/>
      <c r="Q273" s="41"/>
      <c r="R273" s="41"/>
      <c r="S273" s="41"/>
      <c r="T273" s="102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0"/>
    </row>
    <row r="274" spans="1:31" x14ac:dyDescent="0.25">
      <c r="A274" s="41">
        <f t="shared" si="4"/>
        <v>273</v>
      </c>
      <c r="B274" s="41" t="s">
        <v>163</v>
      </c>
      <c r="C274" s="41" t="s">
        <v>519</v>
      </c>
      <c r="D274" s="42" t="s">
        <v>547</v>
      </c>
      <c r="E274" s="43" t="s">
        <v>171</v>
      </c>
      <c r="F274" s="43" t="s">
        <v>181</v>
      </c>
      <c r="G274" s="41" t="s">
        <v>184</v>
      </c>
      <c r="H274" s="41" t="s">
        <v>169</v>
      </c>
      <c r="I274" s="44">
        <v>31719</v>
      </c>
      <c r="J274" s="45">
        <v>792.97500000000002</v>
      </c>
      <c r="K274" s="100">
        <v>1</v>
      </c>
      <c r="L274" s="51">
        <v>40</v>
      </c>
      <c r="M274" s="109">
        <v>0</v>
      </c>
      <c r="N274" s="103"/>
      <c r="O274" s="37">
        <v>45881</v>
      </c>
      <c r="P274" s="41"/>
      <c r="Q274" s="41"/>
      <c r="R274" s="41"/>
      <c r="S274" s="41"/>
      <c r="T274" s="102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0"/>
    </row>
    <row r="275" spans="1:31" hidden="1" x14ac:dyDescent="0.25">
      <c r="A275" s="41">
        <f t="shared" si="4"/>
        <v>274</v>
      </c>
      <c r="B275" s="41" t="s">
        <v>163</v>
      </c>
      <c r="C275" s="41" t="s">
        <v>519</v>
      </c>
      <c r="D275" s="42" t="s">
        <v>548</v>
      </c>
      <c r="E275" s="43" t="s">
        <v>171</v>
      </c>
      <c r="F275" s="43" t="s">
        <v>181</v>
      </c>
      <c r="G275" s="41" t="s">
        <v>184</v>
      </c>
      <c r="H275" s="41" t="s">
        <v>169</v>
      </c>
      <c r="I275" s="44">
        <v>18825</v>
      </c>
      <c r="J275" s="45">
        <v>470.625</v>
      </c>
      <c r="K275" s="100">
        <v>1</v>
      </c>
      <c r="L275" s="51">
        <v>40</v>
      </c>
      <c r="M275" s="106">
        <v>57</v>
      </c>
      <c r="N275" s="103"/>
      <c r="O275" s="37">
        <v>45881</v>
      </c>
      <c r="P275" s="41"/>
      <c r="Q275" s="41"/>
      <c r="R275" s="41"/>
      <c r="S275" s="41"/>
      <c r="T275" s="107">
        <v>8500</v>
      </c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0"/>
    </row>
    <row r="276" spans="1:31" ht="14.45" customHeight="1" x14ac:dyDescent="0.25">
      <c r="A276" s="41">
        <f t="shared" si="4"/>
        <v>275</v>
      </c>
      <c r="B276" s="41" t="s">
        <v>163</v>
      </c>
      <c r="C276" s="41" t="s">
        <v>519</v>
      </c>
      <c r="D276" s="42" t="s">
        <v>549</v>
      </c>
      <c r="E276" s="43" t="s">
        <v>166</v>
      </c>
      <c r="F276" s="43" t="s">
        <v>181</v>
      </c>
      <c r="G276" s="41" t="s">
        <v>184</v>
      </c>
      <c r="H276" s="41" t="s">
        <v>169</v>
      </c>
      <c r="I276" s="44">
        <v>65811</v>
      </c>
      <c r="J276" s="45">
        <v>1645.2750000000001</v>
      </c>
      <c r="K276" s="100">
        <v>0.92721884498480245</v>
      </c>
      <c r="L276" s="51">
        <v>40</v>
      </c>
      <c r="M276" s="109">
        <v>0</v>
      </c>
      <c r="N276" s="103"/>
      <c r="O276" s="37">
        <v>45881</v>
      </c>
      <c r="P276" s="41"/>
      <c r="Q276" s="41"/>
      <c r="R276" s="41"/>
      <c r="S276" s="41"/>
      <c r="T276" s="102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120" t="s">
        <v>1050</v>
      </c>
    </row>
    <row r="277" spans="1:31" x14ac:dyDescent="0.25">
      <c r="A277" s="41">
        <f t="shared" si="4"/>
        <v>276</v>
      </c>
      <c r="B277" s="41" t="s">
        <v>163</v>
      </c>
      <c r="C277" s="41" t="s">
        <v>519</v>
      </c>
      <c r="D277" s="42" t="s">
        <v>550</v>
      </c>
      <c r="E277" s="43" t="s">
        <v>166</v>
      </c>
      <c r="F277" s="43" t="s">
        <v>208</v>
      </c>
      <c r="G277" s="41" t="s">
        <v>551</v>
      </c>
      <c r="H277" s="41" t="s">
        <v>248</v>
      </c>
      <c r="I277" s="44">
        <v>40000</v>
      </c>
      <c r="J277" s="41">
        <v>1000</v>
      </c>
      <c r="K277" s="100">
        <v>0.53</v>
      </c>
      <c r="L277" s="51">
        <v>40</v>
      </c>
      <c r="M277" s="109">
        <v>0</v>
      </c>
      <c r="N277" s="103"/>
      <c r="O277" s="37">
        <v>45881</v>
      </c>
      <c r="P277" s="41"/>
      <c r="Q277" s="41"/>
      <c r="R277" s="41"/>
      <c r="S277" s="41"/>
      <c r="T277" s="102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0"/>
    </row>
    <row r="278" spans="1:31" hidden="1" x14ac:dyDescent="0.25">
      <c r="A278" s="41">
        <f t="shared" si="4"/>
        <v>277</v>
      </c>
      <c r="B278" s="41" t="s">
        <v>163</v>
      </c>
      <c r="C278" s="41" t="s">
        <v>519</v>
      </c>
      <c r="D278" s="42" t="s">
        <v>552</v>
      </c>
      <c r="E278" s="43" t="s">
        <v>166</v>
      </c>
      <c r="F278" s="43" t="s">
        <v>208</v>
      </c>
      <c r="G278" s="41" t="s">
        <v>209</v>
      </c>
      <c r="H278" s="41" t="s">
        <v>248</v>
      </c>
      <c r="I278" s="44">
        <v>73044</v>
      </c>
      <c r="J278" s="41">
        <v>1826.1</v>
      </c>
      <c r="K278" s="100">
        <v>0.9797918948521358</v>
      </c>
      <c r="L278" s="51">
        <v>40</v>
      </c>
      <c r="M278" s="106">
        <v>43</v>
      </c>
      <c r="N278" s="103"/>
      <c r="O278" s="37">
        <v>45881</v>
      </c>
      <c r="P278" s="41"/>
      <c r="Q278" s="41"/>
      <c r="R278" s="41"/>
      <c r="S278" s="41">
        <v>6</v>
      </c>
      <c r="T278" s="102" t="s">
        <v>901</v>
      </c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0"/>
    </row>
    <row r="279" spans="1:31" x14ac:dyDescent="0.25">
      <c r="A279" s="41">
        <f t="shared" si="4"/>
        <v>278</v>
      </c>
      <c r="B279" s="41" t="s">
        <v>163</v>
      </c>
      <c r="C279" s="41" t="s">
        <v>519</v>
      </c>
      <c r="D279" s="42" t="s">
        <v>553</v>
      </c>
      <c r="E279" s="43" t="s">
        <v>166</v>
      </c>
      <c r="F279" s="43" t="s">
        <v>208</v>
      </c>
      <c r="G279" s="41" t="s">
        <v>328</v>
      </c>
      <c r="H279" s="41" t="s">
        <v>169</v>
      </c>
      <c r="I279" s="44">
        <v>20419</v>
      </c>
      <c r="J279" s="41">
        <v>510.47500000000002</v>
      </c>
      <c r="K279" s="100">
        <v>0.81661764705882356</v>
      </c>
      <c r="L279" s="51">
        <v>40</v>
      </c>
      <c r="M279" s="109">
        <v>0</v>
      </c>
      <c r="N279" s="103"/>
      <c r="O279" s="37">
        <v>45881</v>
      </c>
      <c r="P279" s="41"/>
      <c r="Q279" s="41"/>
      <c r="R279" s="41"/>
      <c r="S279" s="41"/>
      <c r="T279" s="102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0"/>
    </row>
    <row r="280" spans="1:31" x14ac:dyDescent="0.25">
      <c r="A280" s="41">
        <f t="shared" si="4"/>
        <v>279</v>
      </c>
      <c r="B280" s="41" t="s">
        <v>163</v>
      </c>
      <c r="C280" s="41" t="s">
        <v>519</v>
      </c>
      <c r="D280" s="42" t="s">
        <v>554</v>
      </c>
      <c r="E280" s="43" t="s">
        <v>166</v>
      </c>
      <c r="F280" s="43" t="s">
        <v>208</v>
      </c>
      <c r="G280" s="41" t="s">
        <v>209</v>
      </c>
      <c r="H280" s="41" t="s">
        <v>248</v>
      </c>
      <c r="I280" s="44">
        <v>33000</v>
      </c>
      <c r="J280" s="41">
        <v>825</v>
      </c>
      <c r="K280" s="100">
        <v>0.53939393939393943</v>
      </c>
      <c r="L280" s="51">
        <v>40</v>
      </c>
      <c r="M280" s="109">
        <v>0</v>
      </c>
      <c r="N280" s="103"/>
      <c r="O280" s="37">
        <v>45881</v>
      </c>
      <c r="P280" s="41"/>
      <c r="Q280" s="41"/>
      <c r="R280" s="41"/>
      <c r="S280" s="41"/>
      <c r="T280" s="102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0"/>
    </row>
    <row r="281" spans="1:31" x14ac:dyDescent="0.25">
      <c r="A281" s="41">
        <f t="shared" si="4"/>
        <v>280</v>
      </c>
      <c r="B281" s="41" t="s">
        <v>163</v>
      </c>
      <c r="C281" s="41" t="s">
        <v>519</v>
      </c>
      <c r="D281" s="42" t="s">
        <v>555</v>
      </c>
      <c r="E281" s="43" t="s">
        <v>166</v>
      </c>
      <c r="F281" s="43" t="s">
        <v>176</v>
      </c>
      <c r="G281" s="41" t="s">
        <v>556</v>
      </c>
      <c r="H281" s="41" t="s">
        <v>169</v>
      </c>
      <c r="I281" s="44">
        <v>325246</v>
      </c>
      <c r="J281" s="41">
        <v>8131.15</v>
      </c>
      <c r="K281" s="100">
        <v>1</v>
      </c>
      <c r="L281" s="51">
        <v>40</v>
      </c>
      <c r="M281" s="109">
        <v>0</v>
      </c>
      <c r="N281" s="103"/>
      <c r="O281" s="37">
        <v>45881</v>
      </c>
      <c r="P281" s="41"/>
      <c r="Q281" s="41"/>
      <c r="R281" s="41"/>
      <c r="S281" s="41"/>
      <c r="T281" s="102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0"/>
    </row>
    <row r="282" spans="1:31" x14ac:dyDescent="0.25">
      <c r="A282" s="41">
        <f t="shared" si="4"/>
        <v>281</v>
      </c>
      <c r="B282" s="41" t="s">
        <v>163</v>
      </c>
      <c r="C282" s="41" t="s">
        <v>519</v>
      </c>
      <c r="D282" s="42" t="s">
        <v>557</v>
      </c>
      <c r="E282" s="43" t="s">
        <v>166</v>
      </c>
      <c r="F282" s="43" t="s">
        <v>176</v>
      </c>
      <c r="G282" s="41" t="s">
        <v>556</v>
      </c>
      <c r="H282" s="41" t="s">
        <v>169</v>
      </c>
      <c r="I282" s="44">
        <v>41446</v>
      </c>
      <c r="J282" s="41">
        <v>1036.1500000000001</v>
      </c>
      <c r="K282" s="100">
        <v>1</v>
      </c>
      <c r="L282" s="51">
        <v>40</v>
      </c>
      <c r="M282" s="109">
        <v>0</v>
      </c>
      <c r="N282" s="103"/>
      <c r="O282" s="37">
        <v>45881</v>
      </c>
      <c r="P282" s="41"/>
      <c r="Q282" s="41"/>
      <c r="R282" s="41"/>
      <c r="S282" s="41"/>
      <c r="T282" s="102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0"/>
    </row>
    <row r="283" spans="1:31" hidden="1" x14ac:dyDescent="0.25">
      <c r="A283" s="41">
        <f t="shared" si="4"/>
        <v>282</v>
      </c>
      <c r="B283" s="41" t="s">
        <v>163</v>
      </c>
      <c r="C283" s="41" t="s">
        <v>519</v>
      </c>
      <c r="D283" s="42" t="s">
        <v>558</v>
      </c>
      <c r="E283" s="43" t="s">
        <v>171</v>
      </c>
      <c r="F283" s="43" t="s">
        <v>176</v>
      </c>
      <c r="G283" s="41" t="s">
        <v>394</v>
      </c>
      <c r="H283" s="41" t="s">
        <v>169</v>
      </c>
      <c r="I283" s="44">
        <v>55400</v>
      </c>
      <c r="J283" s="41">
        <v>1385</v>
      </c>
      <c r="K283" s="100">
        <v>0.86714801444043321</v>
      </c>
      <c r="L283" s="51">
        <v>40</v>
      </c>
      <c r="M283" s="106">
        <v>29</v>
      </c>
      <c r="N283" s="103"/>
      <c r="O283" s="37">
        <v>45881</v>
      </c>
      <c r="P283" s="41"/>
      <c r="Q283" s="41"/>
      <c r="R283" s="41">
        <v>29</v>
      </c>
      <c r="S283" s="41"/>
      <c r="T283" s="102" t="s">
        <v>902</v>
      </c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0"/>
    </row>
    <row r="284" spans="1:31" x14ac:dyDescent="0.25">
      <c r="A284" s="41">
        <f t="shared" si="4"/>
        <v>283</v>
      </c>
      <c r="B284" s="41" t="s">
        <v>163</v>
      </c>
      <c r="C284" s="41" t="s">
        <v>519</v>
      </c>
      <c r="D284" s="42" t="s">
        <v>559</v>
      </c>
      <c r="E284" s="43" t="s">
        <v>171</v>
      </c>
      <c r="F284" s="43" t="s">
        <v>215</v>
      </c>
      <c r="G284" s="41" t="s">
        <v>422</v>
      </c>
      <c r="H284" s="41" t="s">
        <v>169</v>
      </c>
      <c r="I284" s="44">
        <v>25070</v>
      </c>
      <c r="J284" s="45">
        <v>626.75</v>
      </c>
      <c r="K284" s="100">
        <v>1</v>
      </c>
      <c r="L284" s="51">
        <v>40</v>
      </c>
      <c r="M284" s="109">
        <v>0</v>
      </c>
      <c r="N284" s="103"/>
      <c r="O284" s="37">
        <v>45881</v>
      </c>
      <c r="P284" s="41"/>
      <c r="Q284" s="41"/>
      <c r="R284" s="41"/>
      <c r="S284" s="41"/>
      <c r="T284" s="102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0"/>
    </row>
    <row r="285" spans="1:31" x14ac:dyDescent="0.25">
      <c r="A285" s="41">
        <f t="shared" si="4"/>
        <v>284</v>
      </c>
      <c r="B285" s="41" t="s">
        <v>163</v>
      </c>
      <c r="C285" s="41" t="s">
        <v>519</v>
      </c>
      <c r="D285" s="42" t="s">
        <v>560</v>
      </c>
      <c r="E285" s="43" t="s">
        <v>171</v>
      </c>
      <c r="F285" s="43" t="s">
        <v>176</v>
      </c>
      <c r="G285" s="41" t="s">
        <v>561</v>
      </c>
      <c r="H285" s="41" t="s">
        <v>169</v>
      </c>
      <c r="I285" s="44">
        <v>29850</v>
      </c>
      <c r="J285" s="41">
        <v>746.25</v>
      </c>
      <c r="K285" s="100">
        <v>0.86360589812332444</v>
      </c>
      <c r="L285" s="51">
        <v>40</v>
      </c>
      <c r="M285" s="109">
        <v>0</v>
      </c>
      <c r="N285" s="103"/>
      <c r="O285" s="37">
        <v>45881</v>
      </c>
      <c r="P285" s="41"/>
      <c r="Q285" s="41"/>
      <c r="R285" s="41"/>
      <c r="S285" s="41"/>
      <c r="T285" s="102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0"/>
    </row>
    <row r="286" spans="1:31" x14ac:dyDescent="0.25">
      <c r="A286" s="41">
        <f t="shared" si="4"/>
        <v>285</v>
      </c>
      <c r="B286" s="41" t="s">
        <v>163</v>
      </c>
      <c r="C286" s="41" t="s">
        <v>519</v>
      </c>
      <c r="D286" s="42" t="s">
        <v>562</v>
      </c>
      <c r="E286" s="43" t="s">
        <v>171</v>
      </c>
      <c r="F286" s="43" t="s">
        <v>176</v>
      </c>
      <c r="G286" s="41" t="s">
        <v>556</v>
      </c>
      <c r="H286" s="41" t="s">
        <v>169</v>
      </c>
      <c r="I286" s="44">
        <v>120000</v>
      </c>
      <c r="J286" s="41">
        <v>3000</v>
      </c>
      <c r="K286" s="100">
        <v>0.69666666666666666</v>
      </c>
      <c r="L286" s="51">
        <v>40</v>
      </c>
      <c r="M286" s="109">
        <v>0</v>
      </c>
      <c r="N286" s="103"/>
      <c r="O286" s="37">
        <v>45881</v>
      </c>
      <c r="P286" s="41"/>
      <c r="Q286" s="41"/>
      <c r="R286" s="41"/>
      <c r="S286" s="41"/>
      <c r="T286" s="102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0"/>
    </row>
    <row r="287" spans="1:31" x14ac:dyDescent="0.25">
      <c r="A287" s="41">
        <f t="shared" si="4"/>
        <v>286</v>
      </c>
      <c r="B287" s="41" t="s">
        <v>163</v>
      </c>
      <c r="C287" s="41" t="s">
        <v>519</v>
      </c>
      <c r="D287" s="42" t="s">
        <v>563</v>
      </c>
      <c r="E287" s="43" t="s">
        <v>171</v>
      </c>
      <c r="F287" s="43" t="s">
        <v>167</v>
      </c>
      <c r="G287" s="41" t="s">
        <v>450</v>
      </c>
      <c r="H287" s="41" t="s">
        <v>248</v>
      </c>
      <c r="I287" s="44">
        <v>385000</v>
      </c>
      <c r="J287" s="41">
        <v>9625</v>
      </c>
      <c r="K287" s="100">
        <v>0.75750649350649346</v>
      </c>
      <c r="L287" s="51">
        <v>40</v>
      </c>
      <c r="M287" s="109">
        <v>0</v>
      </c>
      <c r="N287" s="103"/>
      <c r="O287" s="37">
        <v>45881</v>
      </c>
      <c r="P287" s="41"/>
      <c r="Q287" s="41"/>
      <c r="R287" s="41"/>
      <c r="S287" s="41"/>
      <c r="T287" s="102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0"/>
    </row>
    <row r="288" spans="1:31" x14ac:dyDescent="0.25">
      <c r="A288" s="41">
        <f t="shared" si="4"/>
        <v>287</v>
      </c>
      <c r="B288" s="41" t="s">
        <v>163</v>
      </c>
      <c r="C288" s="41" t="s">
        <v>519</v>
      </c>
      <c r="D288" s="42" t="s">
        <v>564</v>
      </c>
      <c r="E288" s="43" t="s">
        <v>171</v>
      </c>
      <c r="F288" s="43" t="s">
        <v>176</v>
      </c>
      <c r="G288" s="41" t="s">
        <v>357</v>
      </c>
      <c r="H288" s="41" t="s">
        <v>169</v>
      </c>
      <c r="I288" s="44">
        <v>56909</v>
      </c>
      <c r="J288" s="41">
        <v>1422.7249999999999</v>
      </c>
      <c r="K288" s="100">
        <v>1</v>
      </c>
      <c r="L288" s="51">
        <v>40</v>
      </c>
      <c r="M288" s="106">
        <v>5</v>
      </c>
      <c r="N288" s="103"/>
      <c r="O288" s="37">
        <v>45881</v>
      </c>
      <c r="P288" s="41"/>
      <c r="Q288" s="41"/>
      <c r="R288" s="41"/>
      <c r="S288" s="41"/>
      <c r="T288" s="102" t="s">
        <v>907</v>
      </c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0"/>
    </row>
    <row r="289" spans="1:31" x14ac:dyDescent="0.25">
      <c r="A289" s="41">
        <f t="shared" si="4"/>
        <v>288</v>
      </c>
      <c r="B289" s="41" t="s">
        <v>163</v>
      </c>
      <c r="C289" s="41" t="s">
        <v>519</v>
      </c>
      <c r="D289" s="42" t="s">
        <v>565</v>
      </c>
      <c r="E289" s="43" t="s">
        <v>171</v>
      </c>
      <c r="F289" s="43" t="s">
        <v>176</v>
      </c>
      <c r="G289" s="41" t="s">
        <v>566</v>
      </c>
      <c r="H289" s="41" t="s">
        <v>169</v>
      </c>
      <c r="I289" s="44">
        <v>62050</v>
      </c>
      <c r="J289" s="41">
        <v>1551.25</v>
      </c>
      <c r="K289" s="100">
        <v>1</v>
      </c>
      <c r="L289" s="51">
        <v>40</v>
      </c>
      <c r="M289" s="109">
        <v>0</v>
      </c>
      <c r="N289" s="103"/>
      <c r="O289" s="37">
        <v>45881</v>
      </c>
      <c r="P289" s="41"/>
      <c r="Q289" s="41"/>
      <c r="R289" s="41"/>
      <c r="S289" s="41"/>
      <c r="T289" s="102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0"/>
    </row>
    <row r="290" spans="1:31" x14ac:dyDescent="0.25">
      <c r="A290" s="41">
        <f t="shared" si="4"/>
        <v>289</v>
      </c>
      <c r="B290" s="41" t="s">
        <v>163</v>
      </c>
      <c r="C290" s="41" t="s">
        <v>519</v>
      </c>
      <c r="D290" s="42" t="s">
        <v>567</v>
      </c>
      <c r="E290" s="43" t="s">
        <v>166</v>
      </c>
      <c r="F290" s="43" t="s">
        <v>181</v>
      </c>
      <c r="G290" s="41" t="s">
        <v>361</v>
      </c>
      <c r="H290" s="41" t="s">
        <v>169</v>
      </c>
      <c r="I290" s="44">
        <v>161456</v>
      </c>
      <c r="J290" s="41">
        <v>4036.4</v>
      </c>
      <c r="K290" s="100">
        <v>1</v>
      </c>
      <c r="L290" s="51">
        <v>40</v>
      </c>
      <c r="M290" s="109">
        <v>0</v>
      </c>
      <c r="N290" s="103"/>
      <c r="O290" s="37">
        <v>45881</v>
      </c>
      <c r="P290" s="41"/>
      <c r="Q290" s="41"/>
      <c r="R290" s="41"/>
      <c r="S290" s="41"/>
      <c r="T290" s="102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0"/>
    </row>
    <row r="291" spans="1:31" x14ac:dyDescent="0.25">
      <c r="A291" s="41">
        <f t="shared" si="4"/>
        <v>290</v>
      </c>
      <c r="B291" s="41" t="s">
        <v>163</v>
      </c>
      <c r="C291" s="41" t="s">
        <v>519</v>
      </c>
      <c r="D291" s="42" t="s">
        <v>568</v>
      </c>
      <c r="E291" s="43" t="s">
        <v>171</v>
      </c>
      <c r="F291" s="43" t="s">
        <v>181</v>
      </c>
      <c r="G291" s="41" t="s">
        <v>371</v>
      </c>
      <c r="H291" s="41" t="s">
        <v>169</v>
      </c>
      <c r="I291" s="44">
        <v>63540</v>
      </c>
      <c r="J291" s="41">
        <v>1588.5</v>
      </c>
      <c r="K291" s="100">
        <v>0.82284455632473252</v>
      </c>
      <c r="L291" s="51">
        <v>40</v>
      </c>
      <c r="M291" s="109">
        <v>0</v>
      </c>
      <c r="N291" s="103"/>
      <c r="O291" s="37">
        <v>45881</v>
      </c>
      <c r="P291" s="41"/>
      <c r="Q291" s="41"/>
      <c r="R291" s="41"/>
      <c r="S291" s="41"/>
      <c r="T291" s="102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0"/>
    </row>
    <row r="292" spans="1:31" x14ac:dyDescent="0.25">
      <c r="A292" s="41">
        <f t="shared" si="4"/>
        <v>291</v>
      </c>
      <c r="B292" s="41" t="s">
        <v>163</v>
      </c>
      <c r="C292" s="41" t="s">
        <v>519</v>
      </c>
      <c r="D292" s="42" t="s">
        <v>569</v>
      </c>
      <c r="E292" s="43" t="s">
        <v>171</v>
      </c>
      <c r="F292" s="43" t="s">
        <v>181</v>
      </c>
      <c r="G292" s="41" t="s">
        <v>361</v>
      </c>
      <c r="H292" s="41" t="s">
        <v>169</v>
      </c>
      <c r="I292" s="44">
        <v>48600</v>
      </c>
      <c r="J292" s="41">
        <v>1215</v>
      </c>
      <c r="K292" s="100">
        <v>0.67078189300411528</v>
      </c>
      <c r="L292" s="51">
        <v>40</v>
      </c>
      <c r="M292" s="109">
        <v>0</v>
      </c>
      <c r="N292" s="103"/>
      <c r="O292" s="37">
        <v>45881</v>
      </c>
      <c r="P292" s="41"/>
      <c r="Q292" s="41"/>
      <c r="R292" s="41"/>
      <c r="S292" s="41"/>
      <c r="T292" s="102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0"/>
    </row>
    <row r="293" spans="1:31" x14ac:dyDescent="0.25">
      <c r="A293" s="41">
        <f t="shared" si="4"/>
        <v>292</v>
      </c>
      <c r="B293" s="41" t="s">
        <v>163</v>
      </c>
      <c r="C293" s="41" t="s">
        <v>519</v>
      </c>
      <c r="D293" s="42" t="s">
        <v>570</v>
      </c>
      <c r="E293" s="43" t="s">
        <v>171</v>
      </c>
      <c r="F293" s="43" t="s">
        <v>181</v>
      </c>
      <c r="G293" s="41" t="s">
        <v>371</v>
      </c>
      <c r="H293" s="41" t="s">
        <v>169</v>
      </c>
      <c r="I293" s="44">
        <v>38000</v>
      </c>
      <c r="J293" s="41">
        <v>950</v>
      </c>
      <c r="K293" s="100">
        <v>0.80421052631578949</v>
      </c>
      <c r="L293" s="51">
        <v>40</v>
      </c>
      <c r="M293" s="109">
        <v>0</v>
      </c>
      <c r="N293" s="103"/>
      <c r="O293" s="37">
        <v>45881</v>
      </c>
      <c r="P293" s="41"/>
      <c r="Q293" s="41"/>
      <c r="R293" s="41"/>
      <c r="S293" s="41"/>
      <c r="T293" s="102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0"/>
    </row>
    <row r="294" spans="1:31" x14ac:dyDescent="0.25">
      <c r="A294" s="41">
        <f t="shared" si="4"/>
        <v>293</v>
      </c>
      <c r="B294" s="41" t="s">
        <v>163</v>
      </c>
      <c r="C294" s="41" t="s">
        <v>519</v>
      </c>
      <c r="D294" s="42" t="s">
        <v>571</v>
      </c>
      <c r="E294" s="43" t="s">
        <v>166</v>
      </c>
      <c r="F294" s="43" t="s">
        <v>181</v>
      </c>
      <c r="G294" s="41" t="s">
        <v>342</v>
      </c>
      <c r="H294" s="41" t="s">
        <v>169</v>
      </c>
      <c r="I294" s="44">
        <v>202151</v>
      </c>
      <c r="J294" s="41">
        <v>5053.7749999999996</v>
      </c>
      <c r="K294" s="100">
        <v>0.71582409972299166</v>
      </c>
      <c r="L294" s="51">
        <v>40</v>
      </c>
      <c r="M294" s="109">
        <v>0</v>
      </c>
      <c r="N294" s="103"/>
      <c r="O294" s="37">
        <v>45881</v>
      </c>
      <c r="P294" s="41"/>
      <c r="Q294" s="41"/>
      <c r="R294" s="41"/>
      <c r="S294" s="41"/>
      <c r="T294" s="102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0"/>
    </row>
    <row r="295" spans="1:31" x14ac:dyDescent="0.25">
      <c r="A295" s="41">
        <f t="shared" si="4"/>
        <v>294</v>
      </c>
      <c r="B295" s="41" t="s">
        <v>163</v>
      </c>
      <c r="C295" s="41" t="s">
        <v>519</v>
      </c>
      <c r="D295" s="42" t="s">
        <v>572</v>
      </c>
      <c r="E295" s="43" t="s">
        <v>171</v>
      </c>
      <c r="F295" s="43" t="s">
        <v>215</v>
      </c>
      <c r="G295" s="41" t="s">
        <v>347</v>
      </c>
      <c r="H295" s="41" t="s">
        <v>169</v>
      </c>
      <c r="I295" s="44">
        <v>9932</v>
      </c>
      <c r="J295" s="45">
        <v>248.3</v>
      </c>
      <c r="K295" s="100">
        <v>1</v>
      </c>
      <c r="L295" s="51">
        <v>40</v>
      </c>
      <c r="M295" s="106">
        <v>4</v>
      </c>
      <c r="N295" s="103"/>
      <c r="O295" s="37">
        <v>45881</v>
      </c>
      <c r="P295" s="41"/>
      <c r="Q295" s="41"/>
      <c r="R295" s="41"/>
      <c r="S295" s="41"/>
      <c r="T295" s="102" t="s">
        <v>905</v>
      </c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0"/>
    </row>
    <row r="296" spans="1:31" x14ac:dyDescent="0.25">
      <c r="A296" s="41">
        <f t="shared" si="4"/>
        <v>295</v>
      </c>
      <c r="B296" s="41" t="s">
        <v>163</v>
      </c>
      <c r="C296" s="41" t="s">
        <v>519</v>
      </c>
      <c r="D296" s="42" t="s">
        <v>573</v>
      </c>
      <c r="E296" s="43" t="s">
        <v>171</v>
      </c>
      <c r="F296" s="43" t="s">
        <v>215</v>
      </c>
      <c r="G296" s="41" t="s">
        <v>574</v>
      </c>
      <c r="H296" s="41" t="s">
        <v>169</v>
      </c>
      <c r="I296" s="44">
        <v>288590</v>
      </c>
      <c r="J296" s="45">
        <v>7214.75</v>
      </c>
      <c r="K296" s="100">
        <v>1</v>
      </c>
      <c r="L296" s="51">
        <v>40</v>
      </c>
      <c r="M296" s="109">
        <v>0</v>
      </c>
      <c r="N296" s="103"/>
      <c r="O296" s="37">
        <v>45881</v>
      </c>
      <c r="P296" s="41"/>
      <c r="Q296" s="41"/>
      <c r="R296" s="41"/>
      <c r="S296" s="41"/>
      <c r="T296" s="102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0"/>
    </row>
    <row r="297" spans="1:31" x14ac:dyDescent="0.25">
      <c r="A297" s="41">
        <f t="shared" si="4"/>
        <v>296</v>
      </c>
      <c r="B297" s="41" t="s">
        <v>163</v>
      </c>
      <c r="C297" s="41" t="s">
        <v>519</v>
      </c>
      <c r="D297" s="42" t="s">
        <v>575</v>
      </c>
      <c r="E297" s="43" t="s">
        <v>171</v>
      </c>
      <c r="F297" s="43" t="s">
        <v>215</v>
      </c>
      <c r="G297" s="41" t="s">
        <v>574</v>
      </c>
      <c r="H297" s="41" t="s">
        <v>169</v>
      </c>
      <c r="I297" s="44">
        <v>27875</v>
      </c>
      <c r="J297" s="45">
        <v>696.875</v>
      </c>
      <c r="K297" s="100">
        <v>1</v>
      </c>
      <c r="L297" s="51">
        <v>40</v>
      </c>
      <c r="M297" s="109">
        <v>0</v>
      </c>
      <c r="N297" s="103"/>
      <c r="O297" s="37">
        <v>45881</v>
      </c>
      <c r="P297" s="41"/>
      <c r="Q297" s="41"/>
      <c r="R297" s="41"/>
      <c r="S297" s="41"/>
      <c r="T297" s="102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0"/>
    </row>
    <row r="298" spans="1:31" x14ac:dyDescent="0.25">
      <c r="A298" s="41">
        <f t="shared" si="4"/>
        <v>297</v>
      </c>
      <c r="B298" s="41" t="s">
        <v>163</v>
      </c>
      <c r="C298" s="41" t="s">
        <v>519</v>
      </c>
      <c r="D298" s="42" t="s">
        <v>576</v>
      </c>
      <c r="E298" s="43" t="s">
        <v>171</v>
      </c>
      <c r="F298" s="43" t="s">
        <v>215</v>
      </c>
      <c r="G298" s="41" t="s">
        <v>347</v>
      </c>
      <c r="H298" s="41" t="s">
        <v>169</v>
      </c>
      <c r="I298" s="44">
        <v>24500</v>
      </c>
      <c r="J298" s="45">
        <v>612.5</v>
      </c>
      <c r="K298" s="100">
        <v>1</v>
      </c>
      <c r="L298" s="51">
        <v>40</v>
      </c>
      <c r="M298" s="109">
        <v>0</v>
      </c>
      <c r="N298" s="103"/>
      <c r="O298" s="37">
        <v>45881</v>
      </c>
      <c r="P298" s="41"/>
      <c r="Q298" s="41"/>
      <c r="R298" s="41"/>
      <c r="S298" s="41"/>
      <c r="T298" s="102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0"/>
    </row>
    <row r="299" spans="1:31" x14ac:dyDescent="0.25">
      <c r="A299" s="41">
        <f t="shared" si="4"/>
        <v>298</v>
      </c>
      <c r="B299" s="41" t="s">
        <v>163</v>
      </c>
      <c r="C299" s="41" t="s">
        <v>519</v>
      </c>
      <c r="D299" s="42" t="s">
        <v>577</v>
      </c>
      <c r="E299" s="43" t="s">
        <v>171</v>
      </c>
      <c r="F299" s="43" t="s">
        <v>215</v>
      </c>
      <c r="G299" s="41" t="s">
        <v>220</v>
      </c>
      <c r="H299" s="41" t="s">
        <v>169</v>
      </c>
      <c r="I299" s="44">
        <v>65000</v>
      </c>
      <c r="J299" s="45">
        <v>1625</v>
      </c>
      <c r="K299" s="100">
        <v>1</v>
      </c>
      <c r="L299" s="51">
        <v>40</v>
      </c>
      <c r="M299" s="109">
        <v>0</v>
      </c>
      <c r="N299" s="103"/>
      <c r="O299" s="37">
        <v>45881</v>
      </c>
      <c r="P299" s="41"/>
      <c r="Q299" s="41"/>
      <c r="R299" s="41"/>
      <c r="S299" s="41"/>
      <c r="T299" s="102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0"/>
    </row>
    <row r="300" spans="1:31" hidden="1" x14ac:dyDescent="0.25">
      <c r="A300" s="41">
        <f t="shared" si="4"/>
        <v>299</v>
      </c>
      <c r="B300" s="41" t="s">
        <v>163</v>
      </c>
      <c r="C300" s="41" t="s">
        <v>519</v>
      </c>
      <c r="D300" s="42" t="s">
        <v>578</v>
      </c>
      <c r="E300" s="43" t="s">
        <v>171</v>
      </c>
      <c r="F300" s="43" t="s">
        <v>215</v>
      </c>
      <c r="G300" s="41" t="s">
        <v>579</v>
      </c>
      <c r="H300" s="41" t="s">
        <v>169</v>
      </c>
      <c r="I300" s="44">
        <v>19700</v>
      </c>
      <c r="J300" s="45">
        <v>492.5</v>
      </c>
      <c r="K300" s="100">
        <v>0.87728194726166331</v>
      </c>
      <c r="L300" s="51">
        <v>40</v>
      </c>
      <c r="M300" s="106">
        <v>13</v>
      </c>
      <c r="N300" s="103"/>
      <c r="O300" s="37">
        <v>45881</v>
      </c>
      <c r="P300" s="41"/>
      <c r="Q300" s="41"/>
      <c r="R300" s="41">
        <v>13</v>
      </c>
      <c r="S300" s="41"/>
      <c r="T300" s="107">
        <v>10000</v>
      </c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0"/>
    </row>
    <row r="301" spans="1:31" x14ac:dyDescent="0.25">
      <c r="A301" s="41">
        <f t="shared" si="4"/>
        <v>300</v>
      </c>
      <c r="B301" s="41" t="s">
        <v>163</v>
      </c>
      <c r="C301" s="41" t="s">
        <v>519</v>
      </c>
      <c r="D301" s="42" t="s">
        <v>580</v>
      </c>
      <c r="E301" s="43" t="s">
        <v>166</v>
      </c>
      <c r="F301" s="43" t="s">
        <v>215</v>
      </c>
      <c r="G301" s="41" t="s">
        <v>350</v>
      </c>
      <c r="H301" s="41" t="s">
        <v>169</v>
      </c>
      <c r="I301" s="44">
        <v>110772</v>
      </c>
      <c r="J301" s="45">
        <v>2769.3</v>
      </c>
      <c r="K301" s="100">
        <v>0.94738172625496575</v>
      </c>
      <c r="L301" s="51">
        <v>40</v>
      </c>
      <c r="M301" s="109">
        <v>0</v>
      </c>
      <c r="N301" s="103"/>
      <c r="O301" s="37">
        <v>45881</v>
      </c>
      <c r="P301" s="41"/>
      <c r="Q301" s="41"/>
      <c r="R301" s="41"/>
      <c r="S301" s="41"/>
      <c r="T301" s="102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0"/>
    </row>
    <row r="302" spans="1:31" x14ac:dyDescent="0.25">
      <c r="A302" s="41">
        <f t="shared" si="4"/>
        <v>301</v>
      </c>
      <c r="B302" s="41" t="s">
        <v>163</v>
      </c>
      <c r="C302" s="41" t="s">
        <v>519</v>
      </c>
      <c r="D302" s="42" t="s">
        <v>581</v>
      </c>
      <c r="E302" s="43" t="s">
        <v>171</v>
      </c>
      <c r="F302" s="43" t="s">
        <v>215</v>
      </c>
      <c r="G302" s="41" t="s">
        <v>220</v>
      </c>
      <c r="H302" s="41" t="s">
        <v>169</v>
      </c>
      <c r="I302" s="44">
        <v>21900</v>
      </c>
      <c r="J302" s="45">
        <v>547.5</v>
      </c>
      <c r="K302" s="100">
        <v>1</v>
      </c>
      <c r="L302" s="51">
        <v>40</v>
      </c>
      <c r="M302" s="109">
        <v>0</v>
      </c>
      <c r="N302" s="103"/>
      <c r="O302" s="37">
        <v>45881</v>
      </c>
      <c r="P302" s="41"/>
      <c r="Q302" s="41"/>
      <c r="R302" s="41"/>
      <c r="S302" s="41"/>
      <c r="T302" s="102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0"/>
    </row>
    <row r="303" spans="1:31" hidden="1" x14ac:dyDescent="0.25">
      <c r="A303" s="41">
        <f t="shared" si="4"/>
        <v>302</v>
      </c>
      <c r="B303" s="41" t="s">
        <v>163</v>
      </c>
      <c r="C303" s="41" t="s">
        <v>519</v>
      </c>
      <c r="D303" s="42" t="s">
        <v>582</v>
      </c>
      <c r="E303" s="43" t="s">
        <v>171</v>
      </c>
      <c r="F303" s="43" t="s">
        <v>215</v>
      </c>
      <c r="G303" s="41" t="s">
        <v>220</v>
      </c>
      <c r="H303" s="41" t="s">
        <v>169</v>
      </c>
      <c r="I303" s="44">
        <v>13700</v>
      </c>
      <c r="J303" s="45">
        <v>342.5</v>
      </c>
      <c r="K303" s="100">
        <v>0.10932944606413994</v>
      </c>
      <c r="L303" s="51">
        <v>40</v>
      </c>
      <c r="M303" s="106">
        <v>16</v>
      </c>
      <c r="N303" s="103"/>
      <c r="O303" s="37">
        <v>45881</v>
      </c>
      <c r="P303" s="41"/>
      <c r="Q303" s="41"/>
      <c r="R303" s="41"/>
      <c r="S303" s="41">
        <v>16</v>
      </c>
      <c r="T303" s="102" t="s">
        <v>903</v>
      </c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0"/>
    </row>
    <row r="304" spans="1:31" x14ac:dyDescent="0.25">
      <c r="A304" s="41">
        <f t="shared" si="4"/>
        <v>303</v>
      </c>
      <c r="B304" s="41" t="s">
        <v>163</v>
      </c>
      <c r="C304" s="41" t="s">
        <v>519</v>
      </c>
      <c r="D304" s="42" t="s">
        <v>583</v>
      </c>
      <c r="E304" s="43" t="s">
        <v>171</v>
      </c>
      <c r="F304" s="43" t="s">
        <v>181</v>
      </c>
      <c r="G304" s="41" t="s">
        <v>184</v>
      </c>
      <c r="H304" s="41" t="s">
        <v>169</v>
      </c>
      <c r="I304" s="44">
        <v>33500</v>
      </c>
      <c r="J304" s="45">
        <v>837.5</v>
      </c>
      <c r="K304" s="100">
        <v>1</v>
      </c>
      <c r="L304" s="51">
        <v>40</v>
      </c>
      <c r="M304" s="109">
        <v>0</v>
      </c>
      <c r="N304" s="103"/>
      <c r="O304" s="37">
        <v>45881</v>
      </c>
      <c r="P304" s="41"/>
      <c r="Q304" s="41"/>
      <c r="R304" s="41"/>
      <c r="S304" s="41"/>
      <c r="T304" s="102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0"/>
    </row>
    <row r="305" spans="1:31" x14ac:dyDescent="0.25">
      <c r="A305" s="41">
        <f t="shared" si="4"/>
        <v>304</v>
      </c>
      <c r="B305" s="41" t="s">
        <v>163</v>
      </c>
      <c r="C305" s="41" t="s">
        <v>519</v>
      </c>
      <c r="D305" s="42" t="s">
        <v>584</v>
      </c>
      <c r="E305" s="43" t="s">
        <v>171</v>
      </c>
      <c r="F305" s="43" t="s">
        <v>181</v>
      </c>
      <c r="G305" s="41" t="s">
        <v>184</v>
      </c>
      <c r="H305" s="41" t="s">
        <v>169</v>
      </c>
      <c r="I305" s="44">
        <v>32200</v>
      </c>
      <c r="J305" s="45">
        <v>805</v>
      </c>
      <c r="K305" s="100">
        <v>0.11677018633540373</v>
      </c>
      <c r="L305" s="51">
        <v>40</v>
      </c>
      <c r="M305" s="109">
        <v>0</v>
      </c>
      <c r="N305" s="103"/>
      <c r="O305" s="37">
        <v>45881</v>
      </c>
      <c r="P305" s="41"/>
      <c r="Q305" s="41"/>
      <c r="R305" s="41"/>
      <c r="S305" s="41"/>
      <c r="T305" s="102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0"/>
    </row>
    <row r="306" spans="1:31" x14ac:dyDescent="0.25">
      <c r="A306" s="41">
        <f t="shared" si="4"/>
        <v>305</v>
      </c>
      <c r="B306" s="41" t="s">
        <v>163</v>
      </c>
      <c r="C306" s="41" t="s">
        <v>519</v>
      </c>
      <c r="D306" s="41" t="s">
        <v>331</v>
      </c>
      <c r="E306" s="41"/>
      <c r="F306" s="41" t="s">
        <v>198</v>
      </c>
      <c r="G306" s="41" t="s">
        <v>224</v>
      </c>
      <c r="H306" s="43" t="s">
        <v>169</v>
      </c>
      <c r="I306" s="44">
        <v>75000</v>
      </c>
      <c r="J306" s="46">
        <v>1500</v>
      </c>
      <c r="K306" s="41"/>
      <c r="L306" s="51"/>
      <c r="M306" s="109">
        <v>0</v>
      </c>
      <c r="N306" s="103"/>
      <c r="O306" s="37">
        <v>45881</v>
      </c>
      <c r="P306" s="41"/>
      <c r="Q306" s="41"/>
      <c r="R306" s="41"/>
      <c r="S306" s="41"/>
      <c r="T306" s="102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0"/>
    </row>
    <row r="307" spans="1:31" hidden="1" x14ac:dyDescent="0.25">
      <c r="A307" s="41">
        <f t="shared" si="4"/>
        <v>306</v>
      </c>
      <c r="B307" s="41" t="s">
        <v>163</v>
      </c>
      <c r="C307" s="41" t="s">
        <v>79</v>
      </c>
      <c r="D307" s="41" t="s">
        <v>585</v>
      </c>
      <c r="E307" s="43" t="s">
        <v>166</v>
      </c>
      <c r="F307" s="43" t="s">
        <v>167</v>
      </c>
      <c r="G307" s="41" t="s">
        <v>247</v>
      </c>
      <c r="H307" s="41" t="s">
        <v>169</v>
      </c>
      <c r="I307" s="41">
        <v>18000</v>
      </c>
      <c r="J307" s="41">
        <v>415</v>
      </c>
      <c r="K307" s="100">
        <v>0.9</v>
      </c>
      <c r="L307" s="51">
        <v>33</v>
      </c>
      <c r="M307" s="106">
        <v>80</v>
      </c>
      <c r="N307" s="103"/>
      <c r="O307" s="37">
        <v>45904</v>
      </c>
      <c r="P307" s="41"/>
      <c r="Q307" s="41"/>
      <c r="R307" s="41"/>
      <c r="S307" s="41"/>
      <c r="T307" s="107">
        <v>10999</v>
      </c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0"/>
    </row>
    <row r="308" spans="1:31" hidden="1" x14ac:dyDescent="0.25">
      <c r="A308" s="41">
        <f t="shared" si="4"/>
        <v>307</v>
      </c>
      <c r="B308" s="41" t="s">
        <v>163</v>
      </c>
      <c r="C308" s="41" t="s">
        <v>79</v>
      </c>
      <c r="D308" s="41" t="s">
        <v>1072</v>
      </c>
      <c r="E308" s="43"/>
      <c r="F308" s="43" t="s">
        <v>167</v>
      </c>
      <c r="G308" s="41" t="s">
        <v>789</v>
      </c>
      <c r="H308" s="41"/>
      <c r="I308" s="41"/>
      <c r="J308" s="41">
        <v>1800</v>
      </c>
      <c r="K308" s="100"/>
      <c r="L308" s="51"/>
      <c r="M308" s="106">
        <v>400</v>
      </c>
      <c r="N308" s="103"/>
      <c r="O308" s="37">
        <v>45904</v>
      </c>
      <c r="P308" s="41"/>
      <c r="Q308" s="41"/>
      <c r="R308" s="41"/>
      <c r="S308" s="41"/>
      <c r="T308" s="107">
        <v>7500</v>
      </c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0"/>
    </row>
    <row r="309" spans="1:31" hidden="1" x14ac:dyDescent="0.25">
      <c r="A309" s="41">
        <f t="shared" si="4"/>
        <v>308</v>
      </c>
      <c r="B309" s="41" t="s">
        <v>163</v>
      </c>
      <c r="C309" s="41" t="s">
        <v>79</v>
      </c>
      <c r="D309" s="41" t="s">
        <v>1073</v>
      </c>
      <c r="E309" s="43"/>
      <c r="F309" s="43" t="s">
        <v>167</v>
      </c>
      <c r="G309" s="41" t="s">
        <v>293</v>
      </c>
      <c r="H309" s="41"/>
      <c r="I309" s="41"/>
      <c r="J309" s="41">
        <v>1000</v>
      </c>
      <c r="K309" s="100"/>
      <c r="L309" s="51"/>
      <c r="M309" s="106">
        <v>700</v>
      </c>
      <c r="N309" s="103"/>
      <c r="O309" s="37">
        <v>45904</v>
      </c>
      <c r="P309" s="41"/>
      <c r="Q309" s="41"/>
      <c r="R309" s="41"/>
      <c r="S309" s="41"/>
      <c r="T309" s="107">
        <v>10999</v>
      </c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0"/>
    </row>
    <row r="310" spans="1:31" hidden="1" x14ac:dyDescent="0.25">
      <c r="A310" s="41">
        <f t="shared" si="4"/>
        <v>309</v>
      </c>
      <c r="B310" s="41" t="s">
        <v>163</v>
      </c>
      <c r="C310" s="41" t="s">
        <v>587</v>
      </c>
      <c r="D310" s="41" t="s">
        <v>589</v>
      </c>
      <c r="E310" s="43" t="s">
        <v>166</v>
      </c>
      <c r="F310" s="43" t="s">
        <v>198</v>
      </c>
      <c r="G310" s="41" t="s">
        <v>590</v>
      </c>
      <c r="H310" s="41" t="s">
        <v>169</v>
      </c>
      <c r="I310" s="45">
        <v>35000</v>
      </c>
      <c r="J310" s="41">
        <v>617</v>
      </c>
      <c r="K310" s="100">
        <v>0.8</v>
      </c>
      <c r="L310" s="52">
        <v>56.726094003241492</v>
      </c>
      <c r="M310" s="41"/>
      <c r="N310" s="103"/>
      <c r="O310" s="37"/>
      <c r="P310" s="41"/>
      <c r="Q310" s="41"/>
      <c r="R310" s="41"/>
      <c r="S310" s="41"/>
      <c r="T310" s="102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0"/>
    </row>
    <row r="311" spans="1:31" hidden="1" x14ac:dyDescent="0.25">
      <c r="A311" s="41">
        <f t="shared" si="4"/>
        <v>310</v>
      </c>
      <c r="B311" s="41" t="s">
        <v>163</v>
      </c>
      <c r="C311" s="41" t="s">
        <v>591</v>
      </c>
      <c r="D311" s="41" t="s">
        <v>592</v>
      </c>
      <c r="E311" s="43" t="s">
        <v>166</v>
      </c>
      <c r="F311" s="43" t="s">
        <v>181</v>
      </c>
      <c r="G311" s="41" t="s">
        <v>593</v>
      </c>
      <c r="H311" s="41" t="s">
        <v>169</v>
      </c>
      <c r="I311" s="44">
        <v>200000</v>
      </c>
      <c r="J311" s="41" t="s">
        <v>594</v>
      </c>
      <c r="K311" s="100">
        <v>1</v>
      </c>
      <c r="L311" s="51"/>
      <c r="M311" s="41"/>
      <c r="N311" s="103"/>
      <c r="O311" s="37"/>
      <c r="P311" s="41"/>
      <c r="Q311" s="41"/>
      <c r="R311" s="41"/>
      <c r="S311" s="41"/>
      <c r="T311" s="102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0"/>
    </row>
    <row r="312" spans="1:31" hidden="1" x14ac:dyDescent="0.25">
      <c r="A312" s="41">
        <f t="shared" si="4"/>
        <v>311</v>
      </c>
      <c r="B312" s="41" t="s">
        <v>163</v>
      </c>
      <c r="C312" s="41" t="s">
        <v>591</v>
      </c>
      <c r="D312" s="41" t="s">
        <v>595</v>
      </c>
      <c r="E312" s="43" t="s">
        <v>166</v>
      </c>
      <c r="F312" s="43" t="s">
        <v>198</v>
      </c>
      <c r="G312" s="41" t="s">
        <v>272</v>
      </c>
      <c r="H312" s="41" t="s">
        <v>169</v>
      </c>
      <c r="I312" s="44">
        <v>200000</v>
      </c>
      <c r="J312" s="41" t="s">
        <v>594</v>
      </c>
      <c r="K312" s="100">
        <v>1</v>
      </c>
      <c r="L312" s="51"/>
      <c r="M312" s="41"/>
      <c r="N312" s="103"/>
      <c r="O312" s="37"/>
      <c r="P312" s="41"/>
      <c r="Q312" s="41"/>
      <c r="R312" s="41"/>
      <c r="S312" s="41"/>
      <c r="T312" s="102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0"/>
    </row>
    <row r="313" spans="1:31" hidden="1" x14ac:dyDescent="0.25">
      <c r="A313" s="41">
        <f t="shared" si="4"/>
        <v>312</v>
      </c>
      <c r="B313" s="41" t="s">
        <v>163</v>
      </c>
      <c r="C313" s="41" t="s">
        <v>596</v>
      </c>
      <c r="D313" s="41" t="s">
        <v>597</v>
      </c>
      <c r="E313" s="43" t="s">
        <v>171</v>
      </c>
      <c r="F313" s="43" t="s">
        <v>181</v>
      </c>
      <c r="G313" s="41" t="s">
        <v>184</v>
      </c>
      <c r="H313" s="41" t="s">
        <v>169</v>
      </c>
      <c r="I313" s="44">
        <v>30000</v>
      </c>
      <c r="J313" s="45">
        <v>750</v>
      </c>
      <c r="K313" s="100">
        <v>0.32</v>
      </c>
      <c r="L313" s="51">
        <v>50</v>
      </c>
      <c r="M313" s="41"/>
      <c r="N313" s="103"/>
      <c r="O313" s="37"/>
      <c r="P313" s="41"/>
      <c r="Q313" s="41"/>
      <c r="R313" s="41"/>
      <c r="S313" s="41"/>
      <c r="T313" s="102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0"/>
    </row>
    <row r="314" spans="1:31" hidden="1" x14ac:dyDescent="0.25">
      <c r="A314" s="41">
        <f t="shared" si="4"/>
        <v>313</v>
      </c>
      <c r="B314" s="41" t="s">
        <v>163</v>
      </c>
      <c r="C314" s="41" t="s">
        <v>598</v>
      </c>
      <c r="D314" s="42" t="s">
        <v>599</v>
      </c>
      <c r="E314" s="43" t="s">
        <v>166</v>
      </c>
      <c r="F314" s="43" t="s">
        <v>181</v>
      </c>
      <c r="G314" s="41" t="s">
        <v>600</v>
      </c>
      <c r="H314" s="41" t="s">
        <v>169</v>
      </c>
      <c r="I314" s="44">
        <v>45000</v>
      </c>
      <c r="J314" s="41">
        <v>750</v>
      </c>
      <c r="K314" s="100">
        <v>0.2</v>
      </c>
      <c r="L314" s="51">
        <v>65</v>
      </c>
      <c r="M314" s="41"/>
      <c r="N314" s="103"/>
      <c r="O314" s="37"/>
      <c r="P314" s="41"/>
      <c r="Q314" s="41"/>
      <c r="R314" s="41"/>
      <c r="S314" s="41"/>
      <c r="T314" s="102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0"/>
    </row>
    <row r="315" spans="1:31" hidden="1" x14ac:dyDescent="0.25">
      <c r="A315" s="41">
        <f t="shared" si="4"/>
        <v>314</v>
      </c>
      <c r="B315" s="41" t="s">
        <v>163</v>
      </c>
      <c r="C315" s="41" t="s">
        <v>598</v>
      </c>
      <c r="D315" s="42" t="s">
        <v>601</v>
      </c>
      <c r="E315" s="43" t="s">
        <v>166</v>
      </c>
      <c r="F315" s="43" t="s">
        <v>215</v>
      </c>
      <c r="G315" s="41" t="s">
        <v>347</v>
      </c>
      <c r="H315" s="41" t="s">
        <v>169</v>
      </c>
      <c r="I315" s="44">
        <v>45000</v>
      </c>
      <c r="J315" s="45">
        <v>750</v>
      </c>
      <c r="K315" s="100">
        <v>0.95</v>
      </c>
      <c r="L315" s="51">
        <v>65</v>
      </c>
      <c r="M315" s="41"/>
      <c r="N315" s="103"/>
      <c r="O315" s="37"/>
      <c r="P315" s="41"/>
      <c r="Q315" s="41"/>
      <c r="R315" s="41"/>
      <c r="S315" s="41"/>
      <c r="T315" s="102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0"/>
    </row>
    <row r="316" spans="1:31" hidden="1" x14ac:dyDescent="0.25">
      <c r="A316" s="41">
        <f t="shared" si="4"/>
        <v>315</v>
      </c>
      <c r="B316" s="41" t="s">
        <v>163</v>
      </c>
      <c r="C316" s="41" t="s">
        <v>598</v>
      </c>
      <c r="D316" s="42" t="s">
        <v>602</v>
      </c>
      <c r="E316" s="43" t="s">
        <v>166</v>
      </c>
      <c r="F316" s="43" t="s">
        <v>215</v>
      </c>
      <c r="G316" s="41" t="s">
        <v>347</v>
      </c>
      <c r="H316" s="41" t="s">
        <v>169</v>
      </c>
      <c r="I316" s="44">
        <v>4500</v>
      </c>
      <c r="J316" s="45">
        <v>145</v>
      </c>
      <c r="K316" s="100"/>
      <c r="L316" s="51">
        <v>65</v>
      </c>
      <c r="M316" s="41"/>
      <c r="N316" s="103"/>
      <c r="O316" s="37"/>
      <c r="P316" s="41"/>
      <c r="Q316" s="41"/>
      <c r="R316" s="41"/>
      <c r="S316" s="41"/>
      <c r="T316" s="102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0"/>
    </row>
    <row r="317" spans="1:31" hidden="1" x14ac:dyDescent="0.25">
      <c r="A317" s="41">
        <f t="shared" si="4"/>
        <v>316</v>
      </c>
      <c r="B317" s="41" t="s">
        <v>163</v>
      </c>
      <c r="C317" s="41" t="s">
        <v>598</v>
      </c>
      <c r="D317" s="42" t="s">
        <v>603</v>
      </c>
      <c r="E317" s="43" t="s">
        <v>166</v>
      </c>
      <c r="F317" s="43" t="s">
        <v>215</v>
      </c>
      <c r="G317" s="41" t="s">
        <v>347</v>
      </c>
      <c r="H317" s="41" t="s">
        <v>169</v>
      </c>
      <c r="I317" s="44">
        <v>150000</v>
      </c>
      <c r="J317" s="45">
        <v>2500</v>
      </c>
      <c r="K317" s="100"/>
      <c r="L317" s="51">
        <v>60</v>
      </c>
      <c r="M317" s="41"/>
      <c r="N317" s="103"/>
      <c r="O317" s="37"/>
      <c r="P317" s="41"/>
      <c r="Q317" s="41"/>
      <c r="R317" s="41"/>
      <c r="S317" s="41"/>
      <c r="T317" s="102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0"/>
    </row>
    <row r="318" spans="1:31" hidden="1" x14ac:dyDescent="0.25">
      <c r="A318" s="41">
        <f t="shared" si="4"/>
        <v>317</v>
      </c>
      <c r="B318" s="41" t="s">
        <v>163</v>
      </c>
      <c r="C318" s="41" t="s">
        <v>604</v>
      </c>
      <c r="D318" s="42" t="s">
        <v>605</v>
      </c>
      <c r="E318" s="43" t="s">
        <v>166</v>
      </c>
      <c r="F318" s="43" t="s">
        <v>167</v>
      </c>
      <c r="G318" s="41" t="s">
        <v>247</v>
      </c>
      <c r="H318" s="41" t="s">
        <v>606</v>
      </c>
      <c r="I318" s="44">
        <v>75000</v>
      </c>
      <c r="J318" s="41" t="s">
        <v>607</v>
      </c>
      <c r="K318" s="100">
        <v>0.8</v>
      </c>
      <c r="L318" s="51" t="s">
        <v>607</v>
      </c>
      <c r="M318" s="41"/>
      <c r="N318" s="103"/>
      <c r="O318" s="37"/>
      <c r="P318" s="41"/>
      <c r="Q318" s="41"/>
      <c r="R318" s="41"/>
      <c r="S318" s="41"/>
      <c r="T318" s="102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0"/>
    </row>
    <row r="319" spans="1:31" hidden="1" x14ac:dyDescent="0.25">
      <c r="A319" s="41">
        <f t="shared" si="4"/>
        <v>318</v>
      </c>
      <c r="B319" s="41" t="s">
        <v>163</v>
      </c>
      <c r="C319" s="41" t="s">
        <v>148</v>
      </c>
      <c r="D319" s="41" t="s">
        <v>608</v>
      </c>
      <c r="E319" s="41"/>
      <c r="F319" s="41" t="s">
        <v>198</v>
      </c>
      <c r="G319" s="41" t="s">
        <v>224</v>
      </c>
      <c r="H319" s="43" t="s">
        <v>169</v>
      </c>
      <c r="I319" s="111">
        <v>15000</v>
      </c>
      <c r="J319" s="47">
        <v>250</v>
      </c>
      <c r="K319" s="41"/>
      <c r="L319" s="51"/>
      <c r="M319" s="106">
        <v>97</v>
      </c>
      <c r="N319" s="103"/>
      <c r="O319" s="37">
        <v>45880</v>
      </c>
      <c r="P319" s="41"/>
      <c r="Q319" s="41"/>
      <c r="R319" s="41"/>
      <c r="S319" s="41"/>
      <c r="T319" s="107">
        <v>8500</v>
      </c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0"/>
    </row>
    <row r="320" spans="1:31" hidden="1" x14ac:dyDescent="0.25">
      <c r="A320" s="41">
        <f t="shared" si="4"/>
        <v>319</v>
      </c>
      <c r="B320" s="41" t="s">
        <v>163</v>
      </c>
      <c r="C320" s="41" t="s">
        <v>609</v>
      </c>
      <c r="D320" s="42" t="s">
        <v>610</v>
      </c>
      <c r="E320" s="43" t="s">
        <v>166</v>
      </c>
      <c r="F320" s="43" t="s">
        <v>167</v>
      </c>
      <c r="G320" s="41" t="s">
        <v>168</v>
      </c>
      <c r="H320" s="41" t="s">
        <v>169</v>
      </c>
      <c r="I320" s="44">
        <v>192000</v>
      </c>
      <c r="J320" s="41">
        <v>6000</v>
      </c>
      <c r="K320" s="100">
        <v>0.75</v>
      </c>
      <c r="L320" s="53">
        <v>32</v>
      </c>
      <c r="M320" s="41"/>
      <c r="N320" s="103"/>
      <c r="O320" s="37"/>
      <c r="P320" s="41"/>
      <c r="Q320" s="41"/>
      <c r="R320" s="41"/>
      <c r="S320" s="41"/>
      <c r="T320" s="102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0"/>
    </row>
    <row r="321" spans="1:31" hidden="1" x14ac:dyDescent="0.25">
      <c r="A321" s="41">
        <f t="shared" si="4"/>
        <v>320</v>
      </c>
      <c r="B321" s="41" t="s">
        <v>163</v>
      </c>
      <c r="C321" s="41" t="s">
        <v>609</v>
      </c>
      <c r="D321" s="42" t="s">
        <v>611</v>
      </c>
      <c r="E321" s="43" t="s">
        <v>166</v>
      </c>
      <c r="F321" s="43" t="s">
        <v>176</v>
      </c>
      <c r="G321" s="41" t="s">
        <v>612</v>
      </c>
      <c r="H321" s="41" t="s">
        <v>169</v>
      </c>
      <c r="I321" s="44">
        <v>42000</v>
      </c>
      <c r="J321" s="41">
        <v>1000</v>
      </c>
      <c r="K321" s="100">
        <v>0.74</v>
      </c>
      <c r="L321" s="53">
        <v>42</v>
      </c>
      <c r="M321" s="41"/>
      <c r="N321" s="103"/>
      <c r="O321" s="37"/>
      <c r="P321" s="41"/>
      <c r="Q321" s="41"/>
      <c r="R321" s="41"/>
      <c r="S321" s="41"/>
      <c r="T321" s="102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0"/>
    </row>
    <row r="322" spans="1:31" hidden="1" x14ac:dyDescent="0.25">
      <c r="A322" s="41">
        <f t="shared" si="4"/>
        <v>321</v>
      </c>
      <c r="B322" s="41" t="s">
        <v>163</v>
      </c>
      <c r="C322" s="41" t="s">
        <v>609</v>
      </c>
      <c r="D322" s="42" t="s">
        <v>613</v>
      </c>
      <c r="E322" s="43" t="s">
        <v>166</v>
      </c>
      <c r="F322" s="43" t="s">
        <v>198</v>
      </c>
      <c r="G322" s="41" t="s">
        <v>614</v>
      </c>
      <c r="H322" s="41" t="s">
        <v>169</v>
      </c>
      <c r="I322" s="44">
        <v>159522</v>
      </c>
      <c r="J322" s="41">
        <v>3500</v>
      </c>
      <c r="K322" s="100">
        <v>0.6</v>
      </c>
      <c r="L322" s="53">
        <v>45.577714285714286</v>
      </c>
      <c r="M322" s="41"/>
      <c r="N322" s="103"/>
      <c r="O322" s="37"/>
      <c r="P322" s="41"/>
      <c r="Q322" s="41"/>
      <c r="R322" s="41"/>
      <c r="S322" s="41"/>
      <c r="T322" s="102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0"/>
    </row>
    <row r="323" spans="1:31" hidden="1" x14ac:dyDescent="0.25">
      <c r="A323" s="41">
        <f t="shared" si="4"/>
        <v>322</v>
      </c>
      <c r="B323" s="41" t="s">
        <v>163</v>
      </c>
      <c r="C323" s="41" t="s">
        <v>609</v>
      </c>
      <c r="D323" s="42" t="s">
        <v>615</v>
      </c>
      <c r="E323" s="43" t="s">
        <v>166</v>
      </c>
      <c r="F323" s="43" t="s">
        <v>192</v>
      </c>
      <c r="G323" s="41" t="s">
        <v>616</v>
      </c>
      <c r="H323" s="41" t="s">
        <v>169</v>
      </c>
      <c r="I323" s="44">
        <v>229411</v>
      </c>
      <c r="J323" s="41">
        <v>5400</v>
      </c>
      <c r="K323" s="100">
        <v>0.8</v>
      </c>
      <c r="L323" s="53">
        <v>42.483518518518515</v>
      </c>
      <c r="M323" s="41"/>
      <c r="N323" s="103"/>
      <c r="O323" s="37"/>
      <c r="P323" s="41"/>
      <c r="Q323" s="41"/>
      <c r="R323" s="41"/>
      <c r="S323" s="41"/>
      <c r="T323" s="102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0"/>
    </row>
    <row r="324" spans="1:31" hidden="1" x14ac:dyDescent="0.25">
      <c r="A324" s="41">
        <f t="shared" ref="A324:A387" si="5">A323+1</f>
        <v>323</v>
      </c>
      <c r="B324" s="41" t="s">
        <v>163</v>
      </c>
      <c r="C324" s="41" t="s">
        <v>609</v>
      </c>
      <c r="D324" s="42" t="s">
        <v>617</v>
      </c>
      <c r="E324" s="43" t="s">
        <v>166</v>
      </c>
      <c r="F324" s="43" t="s">
        <v>181</v>
      </c>
      <c r="G324" s="41" t="s">
        <v>618</v>
      </c>
      <c r="H324" s="41" t="s">
        <v>169</v>
      </c>
      <c r="I324" s="44">
        <v>54043</v>
      </c>
      <c r="J324" s="41">
        <v>1000</v>
      </c>
      <c r="K324" s="100">
        <v>0.6</v>
      </c>
      <c r="L324" s="53">
        <v>54.042999999999999</v>
      </c>
      <c r="M324" s="41"/>
      <c r="N324" s="103"/>
      <c r="O324" s="37"/>
      <c r="P324" s="41"/>
      <c r="Q324" s="41"/>
      <c r="R324" s="41"/>
      <c r="S324" s="41"/>
      <c r="T324" s="102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0"/>
    </row>
    <row r="325" spans="1:31" hidden="1" x14ac:dyDescent="0.25">
      <c r="A325" s="41">
        <f t="shared" si="5"/>
        <v>324</v>
      </c>
      <c r="B325" s="41" t="s">
        <v>163</v>
      </c>
      <c r="C325" s="41" t="s">
        <v>609</v>
      </c>
      <c r="D325" s="42" t="s">
        <v>619</v>
      </c>
      <c r="E325" s="43" t="s">
        <v>166</v>
      </c>
      <c r="F325" s="43" t="s">
        <v>176</v>
      </c>
      <c r="G325" s="41" t="s">
        <v>276</v>
      </c>
      <c r="H325" s="41" t="s">
        <v>169</v>
      </c>
      <c r="I325" s="44">
        <v>19201</v>
      </c>
      <c r="J325" s="41">
        <v>300</v>
      </c>
      <c r="K325" s="100">
        <v>0.7</v>
      </c>
      <c r="L325" s="53">
        <v>64.00333333333333</v>
      </c>
      <c r="M325" s="41"/>
      <c r="N325" s="103"/>
      <c r="O325" s="37"/>
      <c r="P325" s="41"/>
      <c r="Q325" s="41"/>
      <c r="R325" s="41"/>
      <c r="S325" s="41"/>
      <c r="T325" s="102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0"/>
    </row>
    <row r="326" spans="1:31" hidden="1" x14ac:dyDescent="0.25">
      <c r="A326" s="41">
        <f t="shared" si="5"/>
        <v>325</v>
      </c>
      <c r="B326" s="41" t="s">
        <v>163</v>
      </c>
      <c r="C326" s="41" t="s">
        <v>609</v>
      </c>
      <c r="D326" s="42" t="s">
        <v>620</v>
      </c>
      <c r="E326" s="43" t="s">
        <v>166</v>
      </c>
      <c r="F326" s="43" t="s">
        <v>198</v>
      </c>
      <c r="G326" s="41" t="s">
        <v>238</v>
      </c>
      <c r="H326" s="41" t="s">
        <v>169</v>
      </c>
      <c r="I326" s="44">
        <v>121000</v>
      </c>
      <c r="J326" s="41">
        <v>2400</v>
      </c>
      <c r="K326" s="100">
        <v>0.7</v>
      </c>
      <c r="L326" s="53">
        <v>50.416666666666664</v>
      </c>
      <c r="M326" s="41"/>
      <c r="N326" s="103"/>
      <c r="O326" s="37"/>
      <c r="P326" s="41"/>
      <c r="Q326" s="41"/>
      <c r="R326" s="41"/>
      <c r="S326" s="41"/>
      <c r="T326" s="102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0"/>
    </row>
    <row r="327" spans="1:31" hidden="1" x14ac:dyDescent="0.25">
      <c r="A327" s="41">
        <f t="shared" si="5"/>
        <v>326</v>
      </c>
      <c r="B327" s="41" t="s">
        <v>163</v>
      </c>
      <c r="C327" s="41" t="s">
        <v>112</v>
      </c>
      <c r="D327" s="41" t="s">
        <v>621</v>
      </c>
      <c r="E327" s="43" t="s">
        <v>166</v>
      </c>
      <c r="F327" s="43" t="s">
        <v>382</v>
      </c>
      <c r="G327" s="41" t="s">
        <v>209</v>
      </c>
      <c r="H327" s="41" t="s">
        <v>169</v>
      </c>
      <c r="I327" s="44">
        <v>65000</v>
      </c>
      <c r="J327" s="41">
        <v>1000</v>
      </c>
      <c r="K327" s="100">
        <v>0.36</v>
      </c>
      <c r="L327" s="51">
        <v>50</v>
      </c>
      <c r="M327" s="106">
        <v>125</v>
      </c>
      <c r="N327" s="103"/>
      <c r="O327" s="37">
        <v>45890</v>
      </c>
      <c r="P327" s="41"/>
      <c r="Q327" s="41"/>
      <c r="R327" s="41"/>
      <c r="S327" s="41"/>
      <c r="T327" s="107">
        <v>9500</v>
      </c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0"/>
    </row>
    <row r="328" spans="1:31" x14ac:dyDescent="0.25">
      <c r="A328" s="41">
        <f t="shared" si="5"/>
        <v>327</v>
      </c>
      <c r="B328" s="41" t="s">
        <v>163</v>
      </c>
      <c r="C328" s="41" t="s">
        <v>112</v>
      </c>
      <c r="D328" s="41" t="s">
        <v>622</v>
      </c>
      <c r="E328" s="43" t="s">
        <v>166</v>
      </c>
      <c r="F328" s="43" t="s">
        <v>181</v>
      </c>
      <c r="G328" s="41" t="s">
        <v>184</v>
      </c>
      <c r="H328" s="41" t="s">
        <v>169</v>
      </c>
      <c r="I328" s="44">
        <v>20000</v>
      </c>
      <c r="J328" s="45">
        <v>400</v>
      </c>
      <c r="K328" s="100">
        <v>0.17</v>
      </c>
      <c r="L328" s="51">
        <v>50</v>
      </c>
      <c r="M328" s="109">
        <v>0</v>
      </c>
      <c r="N328" s="103"/>
      <c r="O328" s="37">
        <v>45890</v>
      </c>
      <c r="P328" s="41"/>
      <c r="Q328" s="41"/>
      <c r="R328" s="41"/>
      <c r="S328" s="41"/>
      <c r="T328" s="102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0"/>
    </row>
    <row r="329" spans="1:31" hidden="1" x14ac:dyDescent="0.25">
      <c r="A329" s="41">
        <f t="shared" si="5"/>
        <v>328</v>
      </c>
      <c r="B329" s="41" t="s">
        <v>163</v>
      </c>
      <c r="C329" s="41" t="s">
        <v>112</v>
      </c>
      <c r="D329" s="41" t="s">
        <v>623</v>
      </c>
      <c r="E329" s="43" t="s">
        <v>166</v>
      </c>
      <c r="F329" s="43" t="s">
        <v>181</v>
      </c>
      <c r="G329" s="41" t="s">
        <v>184</v>
      </c>
      <c r="H329" s="41" t="s">
        <v>169</v>
      </c>
      <c r="I329" s="44">
        <v>22000</v>
      </c>
      <c r="J329" s="45">
        <v>440</v>
      </c>
      <c r="K329" s="100">
        <v>0.26</v>
      </c>
      <c r="L329" s="51">
        <v>50</v>
      </c>
      <c r="M329" s="106">
        <v>250</v>
      </c>
      <c r="N329" s="103"/>
      <c r="O329" s="37">
        <v>45890</v>
      </c>
      <c r="P329" s="41"/>
      <c r="Q329" s="41" t="s">
        <v>1034</v>
      </c>
      <c r="R329" s="41"/>
      <c r="S329" s="41"/>
      <c r="T329" s="107">
        <v>8500</v>
      </c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0"/>
    </row>
    <row r="330" spans="1:31" hidden="1" x14ac:dyDescent="0.25">
      <c r="A330" s="41">
        <f t="shared" si="5"/>
        <v>329</v>
      </c>
      <c r="B330" s="41" t="s">
        <v>163</v>
      </c>
      <c r="C330" s="41" t="s">
        <v>112</v>
      </c>
      <c r="D330" s="41" t="s">
        <v>624</v>
      </c>
      <c r="E330" s="43" t="s">
        <v>171</v>
      </c>
      <c r="F330" s="41" t="s">
        <v>172</v>
      </c>
      <c r="G330" s="41" t="s">
        <v>172</v>
      </c>
      <c r="H330" s="41" t="s">
        <v>169</v>
      </c>
      <c r="I330" s="44">
        <v>18000</v>
      </c>
      <c r="J330" s="41">
        <v>360</v>
      </c>
      <c r="K330" s="100">
        <v>0</v>
      </c>
      <c r="L330" s="51">
        <v>50</v>
      </c>
      <c r="M330" s="106">
        <v>70</v>
      </c>
      <c r="N330" s="103"/>
      <c r="O330" s="37">
        <v>45890</v>
      </c>
      <c r="P330" s="41"/>
      <c r="Q330" s="41"/>
      <c r="R330" s="41"/>
      <c r="S330" s="41"/>
      <c r="T330" s="107">
        <v>7000</v>
      </c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0"/>
    </row>
    <row r="331" spans="1:31" x14ac:dyDescent="0.25">
      <c r="A331" s="41">
        <f t="shared" si="5"/>
        <v>330</v>
      </c>
      <c r="B331" s="41" t="s">
        <v>163</v>
      </c>
      <c r="C331" s="41" t="s">
        <v>112</v>
      </c>
      <c r="D331" s="41" t="s">
        <v>625</v>
      </c>
      <c r="E331" s="43" t="s">
        <v>171</v>
      </c>
      <c r="F331" s="41" t="s">
        <v>172</v>
      </c>
      <c r="G331" s="41" t="s">
        <v>172</v>
      </c>
      <c r="H331" s="41" t="s">
        <v>169</v>
      </c>
      <c r="I331" s="44">
        <v>18000</v>
      </c>
      <c r="J331" s="41">
        <v>360</v>
      </c>
      <c r="K331" s="100">
        <v>0</v>
      </c>
      <c r="L331" s="51">
        <v>50</v>
      </c>
      <c r="M331" s="109">
        <v>0</v>
      </c>
      <c r="N331" s="103"/>
      <c r="O331" s="37">
        <v>45890</v>
      </c>
      <c r="P331" s="41"/>
      <c r="Q331" s="41"/>
      <c r="R331" s="41"/>
      <c r="S331" s="41"/>
      <c r="T331" s="102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0"/>
    </row>
    <row r="332" spans="1:31" hidden="1" x14ac:dyDescent="0.25">
      <c r="A332" s="41">
        <f t="shared" si="5"/>
        <v>331</v>
      </c>
      <c r="B332" s="41" t="s">
        <v>163</v>
      </c>
      <c r="C332" s="41" t="s">
        <v>112</v>
      </c>
      <c r="D332" s="41" t="s">
        <v>626</v>
      </c>
      <c r="E332" s="43" t="s">
        <v>171</v>
      </c>
      <c r="F332" s="41" t="s">
        <v>172</v>
      </c>
      <c r="G332" s="41" t="s">
        <v>172</v>
      </c>
      <c r="H332" s="41" t="s">
        <v>169</v>
      </c>
      <c r="I332" s="44">
        <v>15000</v>
      </c>
      <c r="J332" s="41">
        <v>300</v>
      </c>
      <c r="K332" s="100">
        <v>0</v>
      </c>
      <c r="L332" s="51">
        <v>50</v>
      </c>
      <c r="M332" s="106">
        <v>65</v>
      </c>
      <c r="N332" s="103"/>
      <c r="O332" s="37">
        <v>45890</v>
      </c>
      <c r="P332" s="41"/>
      <c r="Q332" s="41"/>
      <c r="R332" s="41"/>
      <c r="S332" s="41"/>
      <c r="T332" s="107">
        <v>7000</v>
      </c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0"/>
    </row>
    <row r="333" spans="1:31" x14ac:dyDescent="0.25">
      <c r="A333" s="41">
        <f t="shared" si="5"/>
        <v>332</v>
      </c>
      <c r="B333" s="41" t="s">
        <v>163</v>
      </c>
      <c r="C333" s="41" t="s">
        <v>112</v>
      </c>
      <c r="D333" s="41" t="s">
        <v>627</v>
      </c>
      <c r="E333" s="43" t="s">
        <v>171</v>
      </c>
      <c r="F333" s="41" t="s">
        <v>172</v>
      </c>
      <c r="G333" s="41" t="s">
        <v>172</v>
      </c>
      <c r="H333" s="41" t="s">
        <v>169</v>
      </c>
      <c r="I333" s="44">
        <v>10000</v>
      </c>
      <c r="J333" s="41">
        <v>200</v>
      </c>
      <c r="K333" s="100">
        <v>0</v>
      </c>
      <c r="L333" s="51">
        <v>50</v>
      </c>
      <c r="M333" s="109">
        <v>0</v>
      </c>
      <c r="N333" s="103"/>
      <c r="O333" s="37">
        <v>45890</v>
      </c>
      <c r="P333" s="41"/>
      <c r="Q333" s="41"/>
      <c r="R333" s="41"/>
      <c r="S333" s="41"/>
      <c r="T333" s="102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0"/>
    </row>
    <row r="334" spans="1:31" x14ac:dyDescent="0.25">
      <c r="A334" s="41">
        <f t="shared" si="5"/>
        <v>333</v>
      </c>
      <c r="B334" s="41" t="s">
        <v>163</v>
      </c>
      <c r="C334" s="41" t="s">
        <v>112</v>
      </c>
      <c r="D334" s="41" t="s">
        <v>628</v>
      </c>
      <c r="E334" s="43" t="s">
        <v>171</v>
      </c>
      <c r="F334" s="41" t="s">
        <v>172</v>
      </c>
      <c r="G334" s="41" t="s">
        <v>172</v>
      </c>
      <c r="H334" s="41" t="s">
        <v>169</v>
      </c>
      <c r="I334" s="44">
        <v>18000</v>
      </c>
      <c r="J334" s="41">
        <v>360</v>
      </c>
      <c r="K334" s="100">
        <v>0</v>
      </c>
      <c r="L334" s="51">
        <v>50</v>
      </c>
      <c r="M334" s="109">
        <v>0</v>
      </c>
      <c r="N334" s="103"/>
      <c r="O334" s="37">
        <v>45890</v>
      </c>
      <c r="P334" s="41"/>
      <c r="Q334" s="41"/>
      <c r="R334" s="41"/>
      <c r="S334" s="41"/>
      <c r="T334" s="102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0"/>
    </row>
    <row r="335" spans="1:31" x14ac:dyDescent="0.25">
      <c r="A335" s="41">
        <f t="shared" si="5"/>
        <v>334</v>
      </c>
      <c r="B335" s="41" t="s">
        <v>163</v>
      </c>
      <c r="C335" s="41" t="s">
        <v>112</v>
      </c>
      <c r="D335" s="41" t="s">
        <v>629</v>
      </c>
      <c r="E335" s="43" t="s">
        <v>171</v>
      </c>
      <c r="F335" s="41" t="s">
        <v>172</v>
      </c>
      <c r="G335" s="41" t="s">
        <v>172</v>
      </c>
      <c r="H335" s="41" t="s">
        <v>169</v>
      </c>
      <c r="I335" s="44">
        <v>18000</v>
      </c>
      <c r="J335" s="41">
        <v>360</v>
      </c>
      <c r="K335" s="100">
        <v>0</v>
      </c>
      <c r="L335" s="51">
        <v>50</v>
      </c>
      <c r="M335" s="109">
        <v>0</v>
      </c>
      <c r="N335" s="103"/>
      <c r="O335" s="37">
        <v>45890</v>
      </c>
      <c r="P335" s="41"/>
      <c r="Q335" s="41"/>
      <c r="R335" s="41"/>
      <c r="S335" s="41"/>
      <c r="T335" s="102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0"/>
    </row>
    <row r="336" spans="1:31" x14ac:dyDescent="0.25">
      <c r="A336" s="41">
        <f t="shared" si="5"/>
        <v>335</v>
      </c>
      <c r="B336" s="41" t="s">
        <v>163</v>
      </c>
      <c r="C336" s="41" t="s">
        <v>112</v>
      </c>
      <c r="D336" s="41" t="s">
        <v>630</v>
      </c>
      <c r="E336" s="43" t="s">
        <v>171</v>
      </c>
      <c r="F336" s="41" t="s">
        <v>172</v>
      </c>
      <c r="G336" s="41" t="s">
        <v>172</v>
      </c>
      <c r="H336" s="41" t="s">
        <v>169</v>
      </c>
      <c r="I336" s="44">
        <v>18000</v>
      </c>
      <c r="J336" s="41">
        <v>360</v>
      </c>
      <c r="K336" s="100">
        <v>0</v>
      </c>
      <c r="L336" s="51">
        <v>50</v>
      </c>
      <c r="M336" s="109">
        <v>0</v>
      </c>
      <c r="N336" s="103"/>
      <c r="O336" s="37">
        <v>45890</v>
      </c>
      <c r="P336" s="41"/>
      <c r="Q336" s="41"/>
      <c r="R336" s="41"/>
      <c r="S336" s="41"/>
      <c r="T336" s="102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0"/>
    </row>
    <row r="337" spans="1:31" x14ac:dyDescent="0.25">
      <c r="A337" s="41">
        <f t="shared" si="5"/>
        <v>336</v>
      </c>
      <c r="B337" s="41" t="s">
        <v>163</v>
      </c>
      <c r="C337" s="41" t="s">
        <v>112</v>
      </c>
      <c r="D337" s="41" t="s">
        <v>631</v>
      </c>
      <c r="E337" s="43" t="s">
        <v>171</v>
      </c>
      <c r="F337" s="41" t="s">
        <v>172</v>
      </c>
      <c r="G337" s="41" t="s">
        <v>172</v>
      </c>
      <c r="H337" s="41" t="s">
        <v>169</v>
      </c>
      <c r="I337" s="44">
        <v>15000</v>
      </c>
      <c r="J337" s="41">
        <v>300</v>
      </c>
      <c r="K337" s="100">
        <v>0</v>
      </c>
      <c r="L337" s="51">
        <v>50</v>
      </c>
      <c r="M337" s="109">
        <v>0</v>
      </c>
      <c r="N337" s="103"/>
      <c r="O337" s="37">
        <v>45890</v>
      </c>
      <c r="P337" s="41"/>
      <c r="Q337" s="41"/>
      <c r="R337" s="41"/>
      <c r="S337" s="41"/>
      <c r="T337" s="102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0"/>
    </row>
    <row r="338" spans="1:31" x14ac:dyDescent="0.25">
      <c r="A338" s="41">
        <f t="shared" si="5"/>
        <v>337</v>
      </c>
      <c r="B338" s="41" t="s">
        <v>163</v>
      </c>
      <c r="C338" s="41" t="s">
        <v>112</v>
      </c>
      <c r="D338" s="41" t="s">
        <v>632</v>
      </c>
      <c r="E338" s="43" t="s">
        <v>171</v>
      </c>
      <c r="F338" s="41" t="s">
        <v>172</v>
      </c>
      <c r="G338" s="41" t="s">
        <v>172</v>
      </c>
      <c r="H338" s="41" t="s">
        <v>169</v>
      </c>
      <c r="I338" s="44">
        <v>5000</v>
      </c>
      <c r="J338" s="41">
        <v>100</v>
      </c>
      <c r="K338" s="100">
        <v>0</v>
      </c>
      <c r="L338" s="51">
        <v>50</v>
      </c>
      <c r="M338" s="109">
        <v>0</v>
      </c>
      <c r="N338" s="103"/>
      <c r="O338" s="37">
        <v>45890</v>
      </c>
      <c r="P338" s="41"/>
      <c r="Q338" s="41"/>
      <c r="R338" s="41"/>
      <c r="S338" s="41"/>
      <c r="T338" s="102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0"/>
    </row>
    <row r="339" spans="1:31" hidden="1" x14ac:dyDescent="0.25">
      <c r="A339" s="41">
        <f t="shared" si="5"/>
        <v>338</v>
      </c>
      <c r="B339" s="41" t="s">
        <v>163</v>
      </c>
      <c r="C339" s="41" t="s">
        <v>112</v>
      </c>
      <c r="D339" s="41" t="s">
        <v>633</v>
      </c>
      <c r="E339" s="43" t="s">
        <v>171</v>
      </c>
      <c r="F339" s="41" t="s">
        <v>172</v>
      </c>
      <c r="G339" s="41" t="s">
        <v>172</v>
      </c>
      <c r="H339" s="41" t="s">
        <v>169</v>
      </c>
      <c r="I339" s="44">
        <v>15000</v>
      </c>
      <c r="J339" s="41">
        <v>300</v>
      </c>
      <c r="K339" s="100">
        <v>0</v>
      </c>
      <c r="L339" s="51">
        <v>50</v>
      </c>
      <c r="M339" s="106">
        <v>35</v>
      </c>
      <c r="N339" s="103"/>
      <c r="O339" s="37">
        <v>45890</v>
      </c>
      <c r="P339" s="41"/>
      <c r="Q339" s="41"/>
      <c r="R339" s="41"/>
      <c r="S339" s="41"/>
      <c r="T339" s="107">
        <v>7500</v>
      </c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0"/>
    </row>
    <row r="340" spans="1:31" x14ac:dyDescent="0.25">
      <c r="A340" s="41">
        <f t="shared" si="5"/>
        <v>339</v>
      </c>
      <c r="B340" s="41" t="s">
        <v>163</v>
      </c>
      <c r="C340" s="41" t="s">
        <v>112</v>
      </c>
      <c r="D340" s="41" t="s">
        <v>545</v>
      </c>
      <c r="E340" s="43" t="s">
        <v>171</v>
      </c>
      <c r="F340" s="41" t="s">
        <v>172</v>
      </c>
      <c r="G340" s="41">
        <v>0</v>
      </c>
      <c r="H340" s="41" t="s">
        <v>169</v>
      </c>
      <c r="I340" s="44">
        <v>17000</v>
      </c>
      <c r="J340" s="41">
        <v>340</v>
      </c>
      <c r="K340" s="100">
        <v>0</v>
      </c>
      <c r="L340" s="51">
        <v>50</v>
      </c>
      <c r="M340" s="109">
        <v>0</v>
      </c>
      <c r="N340" s="103"/>
      <c r="O340" s="37">
        <v>45890</v>
      </c>
      <c r="P340" s="41"/>
      <c r="Q340" s="41"/>
      <c r="R340" s="41"/>
      <c r="S340" s="41"/>
      <c r="T340" s="102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0"/>
    </row>
    <row r="341" spans="1:31" x14ac:dyDescent="0.25">
      <c r="A341" s="41">
        <f t="shared" si="5"/>
        <v>340</v>
      </c>
      <c r="B341" s="41" t="s">
        <v>163</v>
      </c>
      <c r="C341" s="41" t="s">
        <v>112</v>
      </c>
      <c r="D341" s="41" t="s">
        <v>634</v>
      </c>
      <c r="E341" s="43" t="s">
        <v>171</v>
      </c>
      <c r="F341" s="41" t="s">
        <v>172</v>
      </c>
      <c r="G341" s="41" t="s">
        <v>172</v>
      </c>
      <c r="H341" s="41" t="s">
        <v>169</v>
      </c>
      <c r="I341" s="44">
        <v>15000</v>
      </c>
      <c r="J341" s="41">
        <v>300</v>
      </c>
      <c r="K341" s="100">
        <v>0</v>
      </c>
      <c r="L341" s="51">
        <v>50</v>
      </c>
      <c r="M341" s="109">
        <v>0</v>
      </c>
      <c r="N341" s="103"/>
      <c r="O341" s="37">
        <v>45890</v>
      </c>
      <c r="P341" s="41"/>
      <c r="Q341" s="41"/>
      <c r="R341" s="41"/>
      <c r="S341" s="41"/>
      <c r="T341" s="102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0"/>
    </row>
    <row r="342" spans="1:31" x14ac:dyDescent="0.25">
      <c r="A342" s="41">
        <f t="shared" si="5"/>
        <v>341</v>
      </c>
      <c r="B342" s="41" t="s">
        <v>163</v>
      </c>
      <c r="C342" s="41" t="s">
        <v>112</v>
      </c>
      <c r="D342" s="41" t="s">
        <v>635</v>
      </c>
      <c r="E342" s="43" t="s">
        <v>166</v>
      </c>
      <c r="F342" s="43" t="s">
        <v>176</v>
      </c>
      <c r="G342" s="41" t="s">
        <v>636</v>
      </c>
      <c r="H342" s="41" t="s">
        <v>169</v>
      </c>
      <c r="I342" s="44">
        <v>11000</v>
      </c>
      <c r="J342" s="41">
        <v>220</v>
      </c>
      <c r="K342" s="100">
        <v>0</v>
      </c>
      <c r="L342" s="51">
        <v>50</v>
      </c>
      <c r="M342" s="109">
        <v>0</v>
      </c>
      <c r="N342" s="103"/>
      <c r="O342" s="37">
        <v>45890</v>
      </c>
      <c r="P342" s="41"/>
      <c r="Q342" s="41"/>
      <c r="R342" s="41"/>
      <c r="S342" s="41"/>
      <c r="T342" s="102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0"/>
    </row>
    <row r="343" spans="1:31" hidden="1" x14ac:dyDescent="0.25">
      <c r="A343" s="41">
        <f t="shared" si="5"/>
        <v>342</v>
      </c>
      <c r="B343" s="41" t="s">
        <v>163</v>
      </c>
      <c r="C343" s="41" t="s">
        <v>112</v>
      </c>
      <c r="D343" s="41" t="s">
        <v>637</v>
      </c>
      <c r="E343" s="43" t="s">
        <v>166</v>
      </c>
      <c r="F343" s="43" t="s">
        <v>176</v>
      </c>
      <c r="G343" s="41" t="s">
        <v>422</v>
      </c>
      <c r="H343" s="41" t="s">
        <v>169</v>
      </c>
      <c r="I343" s="44">
        <v>15000</v>
      </c>
      <c r="J343" s="45">
        <v>300</v>
      </c>
      <c r="K343" s="100">
        <v>0</v>
      </c>
      <c r="L343" s="51">
        <v>50</v>
      </c>
      <c r="M343" s="106">
        <v>20</v>
      </c>
      <c r="N343" s="103"/>
      <c r="O343" s="37">
        <v>45890</v>
      </c>
      <c r="P343" s="41"/>
      <c r="Q343" s="41"/>
      <c r="R343" s="41"/>
      <c r="S343" s="41"/>
      <c r="T343" s="107">
        <v>7500</v>
      </c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0"/>
    </row>
    <row r="344" spans="1:31" x14ac:dyDescent="0.25">
      <c r="A344" s="41">
        <f t="shared" si="5"/>
        <v>343</v>
      </c>
      <c r="B344" s="41" t="s">
        <v>163</v>
      </c>
      <c r="C344" s="41" t="s">
        <v>112</v>
      </c>
      <c r="D344" s="41" t="s">
        <v>638</v>
      </c>
      <c r="E344" s="43" t="s">
        <v>166</v>
      </c>
      <c r="F344" s="43" t="s">
        <v>176</v>
      </c>
      <c r="G344" s="41" t="s">
        <v>639</v>
      </c>
      <c r="H344" s="41" t="s">
        <v>169</v>
      </c>
      <c r="I344" s="44">
        <v>12000</v>
      </c>
      <c r="J344" s="41">
        <v>240</v>
      </c>
      <c r="K344" s="100">
        <v>0</v>
      </c>
      <c r="L344" s="51">
        <v>50</v>
      </c>
      <c r="M344" s="109">
        <v>0</v>
      </c>
      <c r="N344" s="103"/>
      <c r="O344" s="37">
        <v>45890</v>
      </c>
      <c r="P344" s="41"/>
      <c r="Q344" s="41"/>
      <c r="R344" s="41"/>
      <c r="S344" s="41"/>
      <c r="T344" s="102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0"/>
    </row>
    <row r="345" spans="1:31" hidden="1" x14ac:dyDescent="0.25">
      <c r="A345" s="41">
        <f t="shared" si="5"/>
        <v>344</v>
      </c>
      <c r="B345" s="41" t="s">
        <v>163</v>
      </c>
      <c r="C345" s="41" t="s">
        <v>112</v>
      </c>
      <c r="D345" s="41" t="s">
        <v>1032</v>
      </c>
      <c r="E345" s="43" t="s">
        <v>166</v>
      </c>
      <c r="F345" s="41" t="s">
        <v>167</v>
      </c>
      <c r="G345" s="41" t="s">
        <v>1033</v>
      </c>
      <c r="H345" s="41"/>
      <c r="I345" s="41"/>
      <c r="J345" s="41"/>
      <c r="K345" s="41"/>
      <c r="L345" s="41"/>
      <c r="M345" s="106">
        <v>250</v>
      </c>
      <c r="N345" s="41"/>
      <c r="O345" s="37">
        <v>45890</v>
      </c>
      <c r="P345" s="41"/>
      <c r="Q345" s="41"/>
      <c r="R345" s="41"/>
      <c r="S345" s="41"/>
      <c r="T345" s="107">
        <v>9500</v>
      </c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0"/>
    </row>
    <row r="346" spans="1:31" hidden="1" x14ac:dyDescent="0.25">
      <c r="A346" s="41">
        <f t="shared" si="5"/>
        <v>345</v>
      </c>
      <c r="B346" s="41" t="s">
        <v>163</v>
      </c>
      <c r="C346" s="101" t="s">
        <v>844</v>
      </c>
      <c r="D346" s="101" t="s">
        <v>846</v>
      </c>
      <c r="E346" s="96" t="s">
        <v>171</v>
      </c>
      <c r="F346" s="101" t="s">
        <v>181</v>
      </c>
      <c r="G346" s="101" t="s">
        <v>845</v>
      </c>
      <c r="H346" s="96" t="s">
        <v>169</v>
      </c>
      <c r="I346" s="41"/>
      <c r="J346" s="41">
        <v>106</v>
      </c>
      <c r="K346" s="41"/>
      <c r="L346" s="41"/>
      <c r="M346" s="94">
        <v>106</v>
      </c>
      <c r="N346" s="112" t="s">
        <v>847</v>
      </c>
      <c r="O346" s="97" t="s">
        <v>848</v>
      </c>
      <c r="P346" s="96"/>
      <c r="Q346" s="96"/>
      <c r="R346" s="96"/>
      <c r="S346" s="96"/>
      <c r="T346" s="113">
        <v>11000</v>
      </c>
      <c r="U346" s="96"/>
      <c r="V346" s="96"/>
      <c r="W346" s="96"/>
      <c r="X346" s="96"/>
      <c r="Y346" s="96"/>
      <c r="Z346" s="96"/>
      <c r="AA346" s="96"/>
      <c r="AB346" s="96"/>
      <c r="AC346" s="96"/>
      <c r="AD346" s="96"/>
      <c r="AE346" s="40"/>
    </row>
    <row r="347" spans="1:31" hidden="1" x14ac:dyDescent="0.25">
      <c r="A347" s="41">
        <f t="shared" si="5"/>
        <v>346</v>
      </c>
      <c r="B347" s="41" t="s">
        <v>163</v>
      </c>
      <c r="C347" s="41" t="s">
        <v>640</v>
      </c>
      <c r="D347" s="41" t="s">
        <v>641</v>
      </c>
      <c r="E347" s="43" t="s">
        <v>171</v>
      </c>
      <c r="F347" s="43" t="s">
        <v>181</v>
      </c>
      <c r="G347" s="41" t="s">
        <v>184</v>
      </c>
      <c r="H347" s="41" t="s">
        <v>169</v>
      </c>
      <c r="I347" s="114">
        <v>40000</v>
      </c>
      <c r="J347" s="45">
        <v>800</v>
      </c>
      <c r="K347" s="100">
        <v>0.95</v>
      </c>
      <c r="L347" s="51">
        <v>40</v>
      </c>
      <c r="M347" s="41"/>
      <c r="N347" s="103"/>
      <c r="O347" s="37"/>
      <c r="P347" s="41"/>
      <c r="Q347" s="41"/>
      <c r="R347" s="41"/>
      <c r="S347" s="41"/>
      <c r="T347" s="102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0"/>
    </row>
    <row r="348" spans="1:31" hidden="1" x14ac:dyDescent="0.25">
      <c r="A348" s="41">
        <f t="shared" si="5"/>
        <v>347</v>
      </c>
      <c r="B348" s="41" t="s">
        <v>163</v>
      </c>
      <c r="C348" s="41" t="s">
        <v>640</v>
      </c>
      <c r="D348" s="41" t="s">
        <v>642</v>
      </c>
      <c r="E348" s="43" t="s">
        <v>171</v>
      </c>
      <c r="F348" s="43" t="s">
        <v>167</v>
      </c>
      <c r="G348" s="41" t="s">
        <v>293</v>
      </c>
      <c r="H348" s="41" t="s">
        <v>169</v>
      </c>
      <c r="I348" s="114">
        <v>18000</v>
      </c>
      <c r="J348" s="41">
        <v>360</v>
      </c>
      <c r="K348" s="100">
        <v>0.95</v>
      </c>
      <c r="L348" s="51">
        <v>40</v>
      </c>
      <c r="M348" s="41"/>
      <c r="N348" s="103"/>
      <c r="O348" s="37"/>
      <c r="P348" s="41"/>
      <c r="Q348" s="41"/>
      <c r="R348" s="41"/>
      <c r="S348" s="41"/>
      <c r="T348" s="102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0"/>
    </row>
    <row r="349" spans="1:31" hidden="1" x14ac:dyDescent="0.25">
      <c r="A349" s="41">
        <f t="shared" si="5"/>
        <v>348</v>
      </c>
      <c r="B349" s="41" t="s">
        <v>163</v>
      </c>
      <c r="C349" s="41" t="s">
        <v>640</v>
      </c>
      <c r="D349" s="41" t="s">
        <v>643</v>
      </c>
      <c r="E349" s="43" t="s">
        <v>171</v>
      </c>
      <c r="F349" s="43" t="s">
        <v>181</v>
      </c>
      <c r="G349" s="41" t="s">
        <v>184</v>
      </c>
      <c r="H349" s="41" t="s">
        <v>169</v>
      </c>
      <c r="I349" s="114">
        <v>30000</v>
      </c>
      <c r="J349" s="45">
        <v>500</v>
      </c>
      <c r="K349" s="100">
        <v>0.25</v>
      </c>
      <c r="L349" s="51">
        <v>40</v>
      </c>
      <c r="M349" s="41"/>
      <c r="N349" s="103"/>
      <c r="O349" s="37"/>
      <c r="P349" s="41"/>
      <c r="Q349" s="41"/>
      <c r="R349" s="41"/>
      <c r="S349" s="41"/>
      <c r="T349" s="102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0"/>
    </row>
    <row r="350" spans="1:31" hidden="1" x14ac:dyDescent="0.25">
      <c r="A350" s="41">
        <f t="shared" si="5"/>
        <v>349</v>
      </c>
      <c r="B350" s="41" t="s">
        <v>163</v>
      </c>
      <c r="C350" s="41" t="s">
        <v>640</v>
      </c>
      <c r="D350" s="41" t="s">
        <v>644</v>
      </c>
      <c r="E350" s="43" t="s">
        <v>171</v>
      </c>
      <c r="F350" s="43" t="s">
        <v>176</v>
      </c>
      <c r="G350" s="41" t="s">
        <v>588</v>
      </c>
      <c r="H350" s="41" t="s">
        <v>169</v>
      </c>
      <c r="I350" s="114">
        <v>28000</v>
      </c>
      <c r="J350" s="41">
        <v>400</v>
      </c>
      <c r="K350" s="100">
        <v>1</v>
      </c>
      <c r="L350" s="51">
        <v>40</v>
      </c>
      <c r="M350" s="41"/>
      <c r="N350" s="103"/>
      <c r="O350" s="37"/>
      <c r="P350" s="41"/>
      <c r="Q350" s="41"/>
      <c r="R350" s="41"/>
      <c r="S350" s="41"/>
      <c r="T350" s="102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0"/>
    </row>
    <row r="351" spans="1:31" hidden="1" x14ac:dyDescent="0.25">
      <c r="A351" s="41">
        <f t="shared" si="5"/>
        <v>350</v>
      </c>
      <c r="B351" s="41" t="s">
        <v>163</v>
      </c>
      <c r="C351" s="41" t="s">
        <v>640</v>
      </c>
      <c r="D351" s="41" t="s">
        <v>645</v>
      </c>
      <c r="E351" s="43" t="s">
        <v>171</v>
      </c>
      <c r="F351" s="43" t="s">
        <v>176</v>
      </c>
      <c r="G351" s="41" t="s">
        <v>646</v>
      </c>
      <c r="H351" s="41" t="s">
        <v>248</v>
      </c>
      <c r="I351" s="114">
        <v>12000</v>
      </c>
      <c r="J351" s="41">
        <v>240</v>
      </c>
      <c r="K351" s="100">
        <v>1</v>
      </c>
      <c r="L351" s="51">
        <v>40</v>
      </c>
      <c r="M351" s="41"/>
      <c r="N351" s="103"/>
      <c r="O351" s="37"/>
      <c r="P351" s="41"/>
      <c r="Q351" s="41"/>
      <c r="R351" s="41"/>
      <c r="S351" s="41"/>
      <c r="T351" s="102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0"/>
    </row>
    <row r="352" spans="1:31" hidden="1" x14ac:dyDescent="0.25">
      <c r="A352" s="41">
        <f t="shared" si="5"/>
        <v>351</v>
      </c>
      <c r="B352" s="41" t="s">
        <v>163</v>
      </c>
      <c r="C352" s="41" t="s">
        <v>640</v>
      </c>
      <c r="D352" s="41" t="s">
        <v>647</v>
      </c>
      <c r="E352" s="43" t="s">
        <v>171</v>
      </c>
      <c r="F352" s="43" t="s">
        <v>167</v>
      </c>
      <c r="G352" s="41" t="s">
        <v>648</v>
      </c>
      <c r="H352" s="41" t="s">
        <v>248</v>
      </c>
      <c r="I352" s="114">
        <v>8000</v>
      </c>
      <c r="J352" s="41">
        <v>160</v>
      </c>
      <c r="K352" s="100">
        <v>1</v>
      </c>
      <c r="L352" s="51">
        <v>40</v>
      </c>
      <c r="M352" s="41"/>
      <c r="N352" s="103"/>
      <c r="O352" s="37"/>
      <c r="P352" s="41"/>
      <c r="Q352" s="41"/>
      <c r="R352" s="41"/>
      <c r="S352" s="41"/>
      <c r="T352" s="102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0"/>
    </row>
    <row r="353" spans="1:31" hidden="1" x14ac:dyDescent="0.25">
      <c r="A353" s="41">
        <f t="shared" si="5"/>
        <v>352</v>
      </c>
      <c r="B353" s="41" t="s">
        <v>163</v>
      </c>
      <c r="C353" s="41" t="s">
        <v>640</v>
      </c>
      <c r="D353" s="41" t="s">
        <v>649</v>
      </c>
      <c r="E353" s="43" t="s">
        <v>171</v>
      </c>
      <c r="F353" s="43" t="s">
        <v>181</v>
      </c>
      <c r="G353" s="41" t="s">
        <v>184</v>
      </c>
      <c r="H353" s="41" t="s">
        <v>169</v>
      </c>
      <c r="I353" s="114">
        <v>15000</v>
      </c>
      <c r="J353" s="45">
        <v>300</v>
      </c>
      <c r="K353" s="100">
        <v>1</v>
      </c>
      <c r="L353" s="51">
        <v>40</v>
      </c>
      <c r="M353" s="41"/>
      <c r="N353" s="103"/>
      <c r="O353" s="37"/>
      <c r="P353" s="41"/>
      <c r="Q353" s="41"/>
      <c r="R353" s="41"/>
      <c r="S353" s="41"/>
      <c r="T353" s="102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0"/>
    </row>
    <row r="354" spans="1:31" hidden="1" x14ac:dyDescent="0.25">
      <c r="A354" s="41">
        <f t="shared" si="5"/>
        <v>353</v>
      </c>
      <c r="B354" s="41" t="s">
        <v>163</v>
      </c>
      <c r="C354" s="41" t="s">
        <v>650</v>
      </c>
      <c r="D354" s="42" t="s">
        <v>651</v>
      </c>
      <c r="E354" s="43" t="s">
        <v>166</v>
      </c>
      <c r="F354" s="41" t="s">
        <v>167</v>
      </c>
      <c r="G354" s="41" t="s">
        <v>168</v>
      </c>
      <c r="H354" s="41" t="s">
        <v>248</v>
      </c>
      <c r="I354" s="44">
        <v>18000</v>
      </c>
      <c r="J354" s="41">
        <v>327.27272727272725</v>
      </c>
      <c r="K354" s="100">
        <v>0.75</v>
      </c>
      <c r="L354" s="56">
        <v>55</v>
      </c>
      <c r="M354" s="41"/>
      <c r="N354" s="103"/>
      <c r="O354" s="37"/>
      <c r="P354" s="41"/>
      <c r="Q354" s="41"/>
      <c r="R354" s="41"/>
      <c r="S354" s="41"/>
      <c r="T354" s="102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0"/>
    </row>
    <row r="355" spans="1:31" hidden="1" x14ac:dyDescent="0.25">
      <c r="A355" s="41">
        <f t="shared" si="5"/>
        <v>354</v>
      </c>
      <c r="B355" s="41" t="s">
        <v>163</v>
      </c>
      <c r="C355" s="41" t="s">
        <v>650</v>
      </c>
      <c r="D355" s="42" t="s">
        <v>652</v>
      </c>
      <c r="E355" s="43" t="s">
        <v>166</v>
      </c>
      <c r="F355" s="41" t="s">
        <v>167</v>
      </c>
      <c r="G355" s="41" t="s">
        <v>168</v>
      </c>
      <c r="H355" s="41" t="s">
        <v>248</v>
      </c>
      <c r="I355" s="44">
        <v>40000</v>
      </c>
      <c r="J355" s="41">
        <v>727.27272727272725</v>
      </c>
      <c r="K355" s="100">
        <v>1</v>
      </c>
      <c r="L355" s="56">
        <v>55</v>
      </c>
      <c r="M355" s="41"/>
      <c r="N355" s="103"/>
      <c r="O355" s="37"/>
      <c r="P355" s="41"/>
      <c r="Q355" s="41"/>
      <c r="R355" s="41"/>
      <c r="S355" s="41"/>
      <c r="T355" s="102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0"/>
    </row>
    <row r="356" spans="1:31" hidden="1" x14ac:dyDescent="0.25">
      <c r="A356" s="41">
        <f t="shared" si="5"/>
        <v>355</v>
      </c>
      <c r="B356" s="41" t="s">
        <v>163</v>
      </c>
      <c r="C356" s="41" t="s">
        <v>650</v>
      </c>
      <c r="D356" s="42" t="s">
        <v>653</v>
      </c>
      <c r="E356" s="43" t="s">
        <v>166</v>
      </c>
      <c r="F356" s="41" t="s">
        <v>167</v>
      </c>
      <c r="G356" s="41" t="s">
        <v>247</v>
      </c>
      <c r="H356" s="41" t="s">
        <v>169</v>
      </c>
      <c r="I356" s="44">
        <v>100000</v>
      </c>
      <c r="J356" s="41">
        <v>1818.1818181818182</v>
      </c>
      <c r="K356" s="100">
        <v>0.7</v>
      </c>
      <c r="L356" s="56">
        <v>55</v>
      </c>
      <c r="M356" s="41"/>
      <c r="N356" s="103"/>
      <c r="O356" s="37"/>
      <c r="P356" s="41"/>
      <c r="Q356" s="41"/>
      <c r="R356" s="41"/>
      <c r="S356" s="41"/>
      <c r="T356" s="102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0"/>
    </row>
    <row r="357" spans="1:31" hidden="1" x14ac:dyDescent="0.25">
      <c r="A357" s="41">
        <f t="shared" si="5"/>
        <v>356</v>
      </c>
      <c r="B357" s="41" t="s">
        <v>163</v>
      </c>
      <c r="C357" s="41" t="s">
        <v>650</v>
      </c>
      <c r="D357" s="42" t="s">
        <v>654</v>
      </c>
      <c r="E357" s="43" t="s">
        <v>166</v>
      </c>
      <c r="F357" s="43" t="s">
        <v>215</v>
      </c>
      <c r="G357" s="41" t="s">
        <v>655</v>
      </c>
      <c r="H357" s="41" t="s">
        <v>169</v>
      </c>
      <c r="I357" s="44">
        <v>20000</v>
      </c>
      <c r="J357" s="45">
        <v>363.63636363636363</v>
      </c>
      <c r="K357" s="100">
        <v>1</v>
      </c>
      <c r="L357" s="56">
        <v>55</v>
      </c>
      <c r="M357" s="41"/>
      <c r="N357" s="103"/>
      <c r="O357" s="37"/>
      <c r="P357" s="41"/>
      <c r="Q357" s="41"/>
      <c r="R357" s="41"/>
      <c r="S357" s="41"/>
      <c r="T357" s="102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0"/>
    </row>
    <row r="358" spans="1:31" hidden="1" x14ac:dyDescent="0.25">
      <c r="A358" s="41">
        <f t="shared" si="5"/>
        <v>357</v>
      </c>
      <c r="B358" s="41" t="s">
        <v>163</v>
      </c>
      <c r="C358" s="41" t="s">
        <v>650</v>
      </c>
      <c r="D358" s="42" t="s">
        <v>656</v>
      </c>
      <c r="E358" s="43" t="s">
        <v>166</v>
      </c>
      <c r="F358" s="41" t="s">
        <v>176</v>
      </c>
      <c r="G358" s="41" t="s">
        <v>657</v>
      </c>
      <c r="H358" s="41" t="s">
        <v>248</v>
      </c>
      <c r="I358" s="44">
        <v>22000</v>
      </c>
      <c r="J358" s="41">
        <v>400</v>
      </c>
      <c r="K358" s="100">
        <v>1</v>
      </c>
      <c r="L358" s="56">
        <v>55</v>
      </c>
      <c r="M358" s="41"/>
      <c r="N358" s="103"/>
      <c r="O358" s="37"/>
      <c r="P358" s="41"/>
      <c r="Q358" s="41"/>
      <c r="R358" s="41"/>
      <c r="S358" s="41"/>
      <c r="T358" s="102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0"/>
    </row>
    <row r="359" spans="1:31" hidden="1" x14ac:dyDescent="0.25">
      <c r="A359" s="41">
        <f t="shared" si="5"/>
        <v>358</v>
      </c>
      <c r="B359" s="41" t="s">
        <v>163</v>
      </c>
      <c r="C359" s="41" t="s">
        <v>658</v>
      </c>
      <c r="D359" s="42" t="s">
        <v>659</v>
      </c>
      <c r="E359" s="43" t="s">
        <v>166</v>
      </c>
      <c r="F359" s="41" t="s">
        <v>215</v>
      </c>
      <c r="G359" s="41" t="s">
        <v>660</v>
      </c>
      <c r="H359" s="41" t="s">
        <v>248</v>
      </c>
      <c r="I359" s="44">
        <v>109550</v>
      </c>
      <c r="J359" s="41">
        <v>2191</v>
      </c>
      <c r="K359" s="100">
        <v>0.39</v>
      </c>
      <c r="L359" s="51">
        <v>50</v>
      </c>
      <c r="M359" s="41"/>
      <c r="N359" s="103"/>
      <c r="O359" s="37"/>
      <c r="P359" s="41"/>
      <c r="Q359" s="41"/>
      <c r="R359" s="41"/>
      <c r="S359" s="41"/>
      <c r="T359" s="102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0"/>
    </row>
    <row r="360" spans="1:31" hidden="1" x14ac:dyDescent="0.25">
      <c r="A360" s="41">
        <f t="shared" si="5"/>
        <v>359</v>
      </c>
      <c r="B360" s="41" t="s">
        <v>163</v>
      </c>
      <c r="C360" s="41" t="s">
        <v>658</v>
      </c>
      <c r="D360" s="42" t="s">
        <v>661</v>
      </c>
      <c r="E360" s="43" t="s">
        <v>166</v>
      </c>
      <c r="F360" s="41" t="s">
        <v>208</v>
      </c>
      <c r="G360" s="41" t="s">
        <v>662</v>
      </c>
      <c r="H360" s="41" t="s">
        <v>169</v>
      </c>
      <c r="I360" s="44">
        <v>109000</v>
      </c>
      <c r="J360" s="41">
        <v>2180</v>
      </c>
      <c r="K360" s="100">
        <v>0.08</v>
      </c>
      <c r="L360" s="51">
        <v>50</v>
      </c>
      <c r="M360" s="41"/>
      <c r="N360" s="103"/>
      <c r="O360" s="37"/>
      <c r="P360" s="41"/>
      <c r="Q360" s="41"/>
      <c r="R360" s="41"/>
      <c r="S360" s="41"/>
      <c r="T360" s="102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0"/>
    </row>
    <row r="361" spans="1:31" hidden="1" x14ac:dyDescent="0.25">
      <c r="A361" s="41">
        <f t="shared" si="5"/>
        <v>360</v>
      </c>
      <c r="B361" s="41" t="s">
        <v>163</v>
      </c>
      <c r="C361" s="41" t="s">
        <v>25</v>
      </c>
      <c r="D361" s="41" t="s">
        <v>663</v>
      </c>
      <c r="E361" s="43" t="s">
        <v>166</v>
      </c>
      <c r="F361" s="41" t="s">
        <v>388</v>
      </c>
      <c r="G361" s="41" t="s">
        <v>664</v>
      </c>
      <c r="H361" s="43" t="s">
        <v>248</v>
      </c>
      <c r="I361" s="41">
        <v>47012</v>
      </c>
      <c r="J361" s="41">
        <v>950</v>
      </c>
      <c r="K361" s="100">
        <v>0.68421052631578949</v>
      </c>
      <c r="L361" s="51">
        <v>80</v>
      </c>
      <c r="M361" s="41"/>
      <c r="N361" s="103"/>
      <c r="O361" s="37"/>
      <c r="P361" s="41"/>
      <c r="Q361" s="41"/>
      <c r="R361" s="41"/>
      <c r="S361" s="41"/>
      <c r="T361" s="102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0"/>
    </row>
    <row r="362" spans="1:31" hidden="1" x14ac:dyDescent="0.25">
      <c r="A362" s="41">
        <f t="shared" si="5"/>
        <v>361</v>
      </c>
      <c r="B362" s="41" t="s">
        <v>163</v>
      </c>
      <c r="C362" s="41" t="s">
        <v>25</v>
      </c>
      <c r="D362" s="41" t="s">
        <v>665</v>
      </c>
      <c r="E362" s="43" t="s">
        <v>166</v>
      </c>
      <c r="F362" s="41" t="s">
        <v>388</v>
      </c>
      <c r="G362" s="41" t="s">
        <v>209</v>
      </c>
      <c r="H362" s="43" t="s">
        <v>248</v>
      </c>
      <c r="I362" s="41">
        <v>46520</v>
      </c>
      <c r="J362" s="41">
        <v>950</v>
      </c>
      <c r="K362" s="100">
        <v>1</v>
      </c>
      <c r="L362" s="51">
        <v>80</v>
      </c>
      <c r="M362" s="41"/>
      <c r="N362" s="103"/>
      <c r="O362" s="37"/>
      <c r="P362" s="41"/>
      <c r="Q362" s="41"/>
      <c r="R362" s="41"/>
      <c r="S362" s="41"/>
      <c r="T362" s="102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0"/>
    </row>
    <row r="363" spans="1:31" hidden="1" x14ac:dyDescent="0.25">
      <c r="A363" s="41">
        <f t="shared" si="5"/>
        <v>362</v>
      </c>
      <c r="B363" s="41" t="s">
        <v>163</v>
      </c>
      <c r="C363" s="41" t="s">
        <v>25</v>
      </c>
      <c r="D363" s="41" t="s">
        <v>666</v>
      </c>
      <c r="E363" s="43" t="s">
        <v>166</v>
      </c>
      <c r="F363" s="41" t="s">
        <v>167</v>
      </c>
      <c r="G363" s="41" t="s">
        <v>247</v>
      </c>
      <c r="H363" s="43" t="s">
        <v>248</v>
      </c>
      <c r="I363" s="41">
        <v>19465</v>
      </c>
      <c r="J363" s="41">
        <v>360</v>
      </c>
      <c r="K363" s="100">
        <v>1</v>
      </c>
      <c r="L363" s="51">
        <v>80</v>
      </c>
      <c r="M363" s="41"/>
      <c r="N363" s="103"/>
      <c r="O363" s="37"/>
      <c r="P363" s="41"/>
      <c r="Q363" s="41"/>
      <c r="R363" s="41"/>
      <c r="S363" s="41"/>
      <c r="T363" s="102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0"/>
    </row>
    <row r="364" spans="1:31" hidden="1" x14ac:dyDescent="0.25">
      <c r="A364" s="41">
        <f t="shared" si="5"/>
        <v>363</v>
      </c>
      <c r="B364" s="41" t="s">
        <v>163</v>
      </c>
      <c r="C364" s="41" t="s">
        <v>25</v>
      </c>
      <c r="D364" s="41" t="s">
        <v>667</v>
      </c>
      <c r="E364" s="43" t="s">
        <v>166</v>
      </c>
      <c r="F364" s="41" t="s">
        <v>176</v>
      </c>
      <c r="G364" s="41" t="s">
        <v>668</v>
      </c>
      <c r="H364" s="43" t="s">
        <v>248</v>
      </c>
      <c r="I364" s="41">
        <v>25500</v>
      </c>
      <c r="J364" s="41">
        <v>500</v>
      </c>
      <c r="K364" s="100">
        <v>1</v>
      </c>
      <c r="L364" s="51">
        <v>80</v>
      </c>
      <c r="M364" s="41"/>
      <c r="N364" s="103"/>
      <c r="O364" s="37"/>
      <c r="P364" s="41"/>
      <c r="Q364" s="41"/>
      <c r="R364" s="41"/>
      <c r="S364" s="41"/>
      <c r="T364" s="102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0"/>
    </row>
    <row r="365" spans="1:31" hidden="1" x14ac:dyDescent="0.25">
      <c r="A365" s="41">
        <f t="shared" si="5"/>
        <v>364</v>
      </c>
      <c r="B365" s="41" t="s">
        <v>163</v>
      </c>
      <c r="C365" s="41" t="s">
        <v>25</v>
      </c>
      <c r="D365" s="41" t="s">
        <v>669</v>
      </c>
      <c r="E365" s="43" t="s">
        <v>166</v>
      </c>
      <c r="F365" s="41" t="s">
        <v>198</v>
      </c>
      <c r="G365" s="41" t="s">
        <v>523</v>
      </c>
      <c r="H365" s="43" t="s">
        <v>248</v>
      </c>
      <c r="I365" s="41">
        <v>31870</v>
      </c>
      <c r="J365" s="41">
        <v>700</v>
      </c>
      <c r="K365" s="100">
        <v>1</v>
      </c>
      <c r="L365" s="51">
        <v>80</v>
      </c>
      <c r="M365" s="41"/>
      <c r="N365" s="103"/>
      <c r="O365" s="37"/>
      <c r="P365" s="41"/>
      <c r="Q365" s="41"/>
      <c r="R365" s="41"/>
      <c r="S365" s="41"/>
      <c r="T365" s="102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0"/>
    </row>
    <row r="366" spans="1:31" hidden="1" x14ac:dyDescent="0.25">
      <c r="A366" s="41">
        <f t="shared" si="5"/>
        <v>365</v>
      </c>
      <c r="B366" s="41" t="s">
        <v>163</v>
      </c>
      <c r="C366" s="41" t="s">
        <v>25</v>
      </c>
      <c r="D366" s="41" t="s">
        <v>670</v>
      </c>
      <c r="E366" s="43" t="s">
        <v>166</v>
      </c>
      <c r="F366" s="41" t="s">
        <v>198</v>
      </c>
      <c r="G366" s="41" t="s">
        <v>671</v>
      </c>
      <c r="H366" s="43" t="s">
        <v>248</v>
      </c>
      <c r="I366" s="41">
        <v>25404</v>
      </c>
      <c r="J366" s="41">
        <v>500</v>
      </c>
      <c r="K366" s="100">
        <v>1</v>
      </c>
      <c r="L366" s="51">
        <v>80</v>
      </c>
      <c r="M366" s="41"/>
      <c r="N366" s="103"/>
      <c r="O366" s="37"/>
      <c r="P366" s="41"/>
      <c r="Q366" s="41"/>
      <c r="R366" s="41"/>
      <c r="S366" s="41"/>
      <c r="T366" s="102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0"/>
    </row>
    <row r="367" spans="1:31" hidden="1" x14ac:dyDescent="0.25">
      <c r="A367" s="41">
        <f t="shared" si="5"/>
        <v>366</v>
      </c>
      <c r="B367" s="41" t="s">
        <v>163</v>
      </c>
      <c r="C367" s="41" t="s">
        <v>25</v>
      </c>
      <c r="D367" s="41" t="s">
        <v>672</v>
      </c>
      <c r="E367" s="43" t="s">
        <v>166</v>
      </c>
      <c r="F367" s="41" t="s">
        <v>176</v>
      </c>
      <c r="G367" s="41" t="s">
        <v>673</v>
      </c>
      <c r="H367" s="43" t="s">
        <v>248</v>
      </c>
      <c r="I367" s="41">
        <v>18010</v>
      </c>
      <c r="J367" s="41">
        <v>290</v>
      </c>
      <c r="K367" s="100">
        <v>1</v>
      </c>
      <c r="L367" s="51">
        <v>80</v>
      </c>
      <c r="M367" s="41"/>
      <c r="N367" s="103"/>
      <c r="O367" s="37"/>
      <c r="P367" s="41"/>
      <c r="Q367" s="41"/>
      <c r="R367" s="41"/>
      <c r="S367" s="41"/>
      <c r="T367" s="102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0"/>
    </row>
    <row r="368" spans="1:31" hidden="1" x14ac:dyDescent="0.25">
      <c r="A368" s="41">
        <f t="shared" si="5"/>
        <v>367</v>
      </c>
      <c r="B368" s="41" t="s">
        <v>163</v>
      </c>
      <c r="C368" s="41" t="s">
        <v>25</v>
      </c>
      <c r="D368" s="41" t="s">
        <v>674</v>
      </c>
      <c r="E368" s="43" t="s">
        <v>166</v>
      </c>
      <c r="F368" s="41" t="s">
        <v>167</v>
      </c>
      <c r="G368" s="41" t="s">
        <v>247</v>
      </c>
      <c r="H368" s="43" t="s">
        <v>248</v>
      </c>
      <c r="I368" s="41">
        <v>97154</v>
      </c>
      <c r="J368" s="41">
        <v>2000</v>
      </c>
      <c r="K368" s="100">
        <v>1</v>
      </c>
      <c r="L368" s="51">
        <v>80</v>
      </c>
      <c r="M368" s="41"/>
      <c r="N368" s="103"/>
      <c r="O368" s="37"/>
      <c r="P368" s="41"/>
      <c r="Q368" s="41"/>
      <c r="R368" s="41"/>
      <c r="S368" s="41"/>
      <c r="T368" s="102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0"/>
    </row>
    <row r="369" spans="1:31" hidden="1" x14ac:dyDescent="0.25">
      <c r="A369" s="41">
        <f t="shared" si="5"/>
        <v>368</v>
      </c>
      <c r="B369" s="41" t="s">
        <v>163</v>
      </c>
      <c r="C369" s="41" t="s">
        <v>25</v>
      </c>
      <c r="D369" s="41" t="s">
        <v>675</v>
      </c>
      <c r="E369" s="43" t="s">
        <v>166</v>
      </c>
      <c r="F369" s="41" t="s">
        <v>176</v>
      </c>
      <c r="G369" s="41" t="s">
        <v>676</v>
      </c>
      <c r="H369" s="43" t="s">
        <v>248</v>
      </c>
      <c r="I369" s="41">
        <v>24302</v>
      </c>
      <c r="J369" s="41">
        <v>500</v>
      </c>
      <c r="K369" s="100">
        <v>1</v>
      </c>
      <c r="L369" s="51">
        <v>80</v>
      </c>
      <c r="M369" s="41"/>
      <c r="N369" s="103"/>
      <c r="O369" s="37"/>
      <c r="P369" s="41"/>
      <c r="Q369" s="41"/>
      <c r="R369" s="41"/>
      <c r="S369" s="41"/>
      <c r="T369" s="102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0"/>
    </row>
    <row r="370" spans="1:31" hidden="1" x14ac:dyDescent="0.25">
      <c r="A370" s="41">
        <f t="shared" si="5"/>
        <v>369</v>
      </c>
      <c r="B370" s="41" t="s">
        <v>163</v>
      </c>
      <c r="C370" s="41" t="s">
        <v>25</v>
      </c>
      <c r="D370" s="41" t="s">
        <v>677</v>
      </c>
      <c r="E370" s="43" t="s">
        <v>166</v>
      </c>
      <c r="F370" s="41" t="s">
        <v>181</v>
      </c>
      <c r="G370" s="41" t="s">
        <v>209</v>
      </c>
      <c r="H370" s="43" t="s">
        <v>248</v>
      </c>
      <c r="I370" s="41">
        <v>138278</v>
      </c>
      <c r="J370" s="41">
        <v>2750</v>
      </c>
      <c r="K370" s="100">
        <v>1</v>
      </c>
      <c r="L370" s="51">
        <v>80</v>
      </c>
      <c r="M370" s="41"/>
      <c r="N370" s="103"/>
      <c r="O370" s="37"/>
      <c r="P370" s="41"/>
      <c r="Q370" s="41"/>
      <c r="R370" s="41"/>
      <c r="S370" s="41"/>
      <c r="T370" s="102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0"/>
    </row>
    <row r="371" spans="1:31" hidden="1" x14ac:dyDescent="0.25">
      <c r="A371" s="41">
        <f t="shared" si="5"/>
        <v>370</v>
      </c>
      <c r="B371" s="41" t="s">
        <v>163</v>
      </c>
      <c r="C371" s="41" t="s">
        <v>25</v>
      </c>
      <c r="D371" s="41" t="s">
        <v>656</v>
      </c>
      <c r="E371" s="43" t="s">
        <v>166</v>
      </c>
      <c r="F371" s="41" t="s">
        <v>176</v>
      </c>
      <c r="G371" s="41" t="s">
        <v>657</v>
      </c>
      <c r="H371" s="43" t="s">
        <v>169</v>
      </c>
      <c r="I371" s="41">
        <v>12857</v>
      </c>
      <c r="J371" s="41">
        <v>260</v>
      </c>
      <c r="K371" s="100">
        <v>0</v>
      </c>
      <c r="L371" s="51">
        <v>80</v>
      </c>
      <c r="M371" s="41"/>
      <c r="N371" s="103"/>
      <c r="O371" s="37"/>
      <c r="P371" s="41"/>
      <c r="Q371" s="41"/>
      <c r="R371" s="41"/>
      <c r="S371" s="41"/>
      <c r="T371" s="102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0"/>
    </row>
    <row r="372" spans="1:31" hidden="1" x14ac:dyDescent="0.25">
      <c r="A372" s="41">
        <f t="shared" si="5"/>
        <v>371</v>
      </c>
      <c r="B372" s="41" t="s">
        <v>163</v>
      </c>
      <c r="C372" s="41" t="s">
        <v>25</v>
      </c>
      <c r="D372" s="41" t="s">
        <v>678</v>
      </c>
      <c r="E372" s="43" t="s">
        <v>166</v>
      </c>
      <c r="F372" s="41" t="s">
        <v>167</v>
      </c>
      <c r="G372" s="41" t="s">
        <v>328</v>
      </c>
      <c r="H372" s="43" t="s">
        <v>169</v>
      </c>
      <c r="I372" s="41">
        <v>143294</v>
      </c>
      <c r="J372" s="41">
        <v>3000</v>
      </c>
      <c r="K372" s="100">
        <v>0</v>
      </c>
      <c r="L372" s="51">
        <v>80</v>
      </c>
      <c r="M372" s="41"/>
      <c r="N372" s="103"/>
      <c r="O372" s="37"/>
      <c r="P372" s="41"/>
      <c r="Q372" s="41"/>
      <c r="R372" s="41"/>
      <c r="S372" s="41"/>
      <c r="T372" s="102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0"/>
    </row>
    <row r="373" spans="1:31" hidden="1" x14ac:dyDescent="0.25">
      <c r="A373" s="41">
        <f t="shared" si="5"/>
        <v>372</v>
      </c>
      <c r="B373" s="41" t="s">
        <v>163</v>
      </c>
      <c r="C373" s="41" t="s">
        <v>25</v>
      </c>
      <c r="D373" s="41" t="s">
        <v>679</v>
      </c>
      <c r="E373" s="43" t="s">
        <v>171</v>
      </c>
      <c r="F373" s="41" t="s">
        <v>176</v>
      </c>
      <c r="G373" s="41" t="s">
        <v>680</v>
      </c>
      <c r="H373" s="43" t="s">
        <v>248</v>
      </c>
      <c r="I373" s="41">
        <v>8880</v>
      </c>
      <c r="J373" s="41">
        <v>180</v>
      </c>
      <c r="K373" s="100">
        <v>1</v>
      </c>
      <c r="L373" s="51">
        <v>80</v>
      </c>
      <c r="M373" s="41"/>
      <c r="N373" s="103"/>
      <c r="O373" s="37"/>
      <c r="P373" s="41"/>
      <c r="Q373" s="41"/>
      <c r="R373" s="41"/>
      <c r="S373" s="41"/>
      <c r="T373" s="102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0"/>
    </row>
    <row r="374" spans="1:31" hidden="1" x14ac:dyDescent="0.25">
      <c r="A374" s="41">
        <f t="shared" si="5"/>
        <v>373</v>
      </c>
      <c r="B374" s="41" t="s">
        <v>163</v>
      </c>
      <c r="C374" s="41" t="s">
        <v>82</v>
      </c>
      <c r="D374" s="42" t="s">
        <v>681</v>
      </c>
      <c r="E374" s="43" t="s">
        <v>166</v>
      </c>
      <c r="F374" s="43" t="s">
        <v>198</v>
      </c>
      <c r="G374" s="41" t="s">
        <v>272</v>
      </c>
      <c r="H374" s="41" t="s">
        <v>248</v>
      </c>
      <c r="I374" s="44">
        <v>34000</v>
      </c>
      <c r="J374" s="41">
        <v>560</v>
      </c>
      <c r="K374" s="100">
        <v>1</v>
      </c>
      <c r="L374" s="51">
        <v>60</v>
      </c>
      <c r="M374" s="41"/>
      <c r="N374" s="103"/>
      <c r="O374" s="37"/>
      <c r="P374" s="41"/>
      <c r="Q374" s="41"/>
      <c r="R374" s="41"/>
      <c r="S374" s="41"/>
      <c r="T374" s="102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0"/>
    </row>
    <row r="375" spans="1:31" hidden="1" x14ac:dyDescent="0.25">
      <c r="A375" s="41">
        <f t="shared" si="5"/>
        <v>374</v>
      </c>
      <c r="B375" s="41" t="s">
        <v>163</v>
      </c>
      <c r="C375" s="41" t="s">
        <v>682</v>
      </c>
      <c r="D375" s="42" t="s">
        <v>683</v>
      </c>
      <c r="E375" s="43" t="s">
        <v>166</v>
      </c>
      <c r="F375" s="41" t="s">
        <v>167</v>
      </c>
      <c r="G375" s="41" t="s">
        <v>684</v>
      </c>
      <c r="H375" s="41" t="s">
        <v>248</v>
      </c>
      <c r="I375" s="44">
        <v>267000</v>
      </c>
      <c r="J375" s="41">
        <v>5823</v>
      </c>
      <c r="K375" s="100">
        <v>1</v>
      </c>
      <c r="L375" s="51">
        <v>45</v>
      </c>
      <c r="M375" s="115">
        <v>4242</v>
      </c>
      <c r="N375" s="103"/>
      <c r="O375" s="37">
        <v>45883</v>
      </c>
      <c r="P375" s="41"/>
      <c r="Q375" s="41" t="s">
        <v>964</v>
      </c>
      <c r="R375" s="41"/>
      <c r="S375" s="41"/>
      <c r="T375" s="102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0"/>
    </row>
    <row r="376" spans="1:31" x14ac:dyDescent="0.25">
      <c r="A376" s="41">
        <f t="shared" si="5"/>
        <v>375</v>
      </c>
      <c r="B376" s="41" t="s">
        <v>163</v>
      </c>
      <c r="C376" s="41" t="s">
        <v>682</v>
      </c>
      <c r="D376" s="42" t="s">
        <v>685</v>
      </c>
      <c r="E376" s="43" t="s">
        <v>171</v>
      </c>
      <c r="F376" s="41" t="s">
        <v>176</v>
      </c>
      <c r="G376" s="41" t="s">
        <v>686</v>
      </c>
      <c r="H376" s="41" t="s">
        <v>169</v>
      </c>
      <c r="I376" s="44">
        <v>31500</v>
      </c>
      <c r="J376" s="41">
        <v>700</v>
      </c>
      <c r="K376" s="100">
        <v>0.9</v>
      </c>
      <c r="L376" s="51">
        <v>45</v>
      </c>
      <c r="M376" s="109">
        <v>0</v>
      </c>
      <c r="N376" s="103"/>
      <c r="O376" s="37">
        <v>45883</v>
      </c>
      <c r="P376" s="41"/>
      <c r="Q376" s="41"/>
      <c r="R376" s="41"/>
      <c r="S376" s="41"/>
      <c r="T376" s="102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0"/>
    </row>
    <row r="377" spans="1:31" hidden="1" x14ac:dyDescent="0.25">
      <c r="A377" s="41">
        <f t="shared" si="5"/>
        <v>376</v>
      </c>
      <c r="B377" s="41" t="s">
        <v>163</v>
      </c>
      <c r="C377" s="41" t="s">
        <v>682</v>
      </c>
      <c r="D377" s="42" t="s">
        <v>687</v>
      </c>
      <c r="E377" s="43" t="s">
        <v>171</v>
      </c>
      <c r="F377" s="41" t="s">
        <v>176</v>
      </c>
      <c r="G377" s="41" t="s">
        <v>236</v>
      </c>
      <c r="H377" s="41" t="s">
        <v>248</v>
      </c>
      <c r="I377" s="44">
        <v>67500</v>
      </c>
      <c r="J377" s="41">
        <v>1500</v>
      </c>
      <c r="K377" s="100">
        <v>0.88</v>
      </c>
      <c r="L377" s="51">
        <v>45</v>
      </c>
      <c r="M377" s="106">
        <v>150</v>
      </c>
      <c r="N377" s="103"/>
      <c r="O377" s="37">
        <v>45883</v>
      </c>
      <c r="P377" s="41"/>
      <c r="Q377" s="41" t="s">
        <v>881</v>
      </c>
      <c r="R377" s="41"/>
      <c r="S377" s="41"/>
      <c r="T377" s="102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0"/>
    </row>
    <row r="378" spans="1:31" hidden="1" x14ac:dyDescent="0.25">
      <c r="A378" s="41">
        <f t="shared" si="5"/>
        <v>377</v>
      </c>
      <c r="B378" s="41" t="s">
        <v>163</v>
      </c>
      <c r="C378" s="41" t="s">
        <v>682</v>
      </c>
      <c r="D378" s="42" t="s">
        <v>688</v>
      </c>
      <c r="E378" s="43" t="s">
        <v>171</v>
      </c>
      <c r="F378" s="41" t="s">
        <v>176</v>
      </c>
      <c r="G378" s="41" t="s">
        <v>686</v>
      </c>
      <c r="H378" s="41" t="s">
        <v>169</v>
      </c>
      <c r="I378" s="44">
        <v>40230</v>
      </c>
      <c r="J378" s="41">
        <v>894</v>
      </c>
      <c r="K378" s="100">
        <v>0.92</v>
      </c>
      <c r="L378" s="51">
        <v>45</v>
      </c>
      <c r="M378" s="106">
        <v>68</v>
      </c>
      <c r="N378" s="103"/>
      <c r="O378" s="37">
        <v>45883</v>
      </c>
      <c r="P378" s="41"/>
      <c r="Q378" s="41" t="s">
        <v>879</v>
      </c>
      <c r="R378" s="41"/>
      <c r="S378" s="41"/>
      <c r="T378" s="102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0"/>
    </row>
    <row r="379" spans="1:31" hidden="1" x14ac:dyDescent="0.25">
      <c r="A379" s="41">
        <f t="shared" si="5"/>
        <v>378</v>
      </c>
      <c r="B379" s="41" t="s">
        <v>163</v>
      </c>
      <c r="C379" s="41" t="s">
        <v>682</v>
      </c>
      <c r="D379" s="42" t="s">
        <v>689</v>
      </c>
      <c r="E379" s="43" t="s">
        <v>171</v>
      </c>
      <c r="F379" s="41" t="s">
        <v>176</v>
      </c>
      <c r="G379" s="41" t="s">
        <v>686</v>
      </c>
      <c r="H379" s="41" t="s">
        <v>248</v>
      </c>
      <c r="I379" s="44">
        <v>35820</v>
      </c>
      <c r="J379" s="41">
        <v>796</v>
      </c>
      <c r="K379" s="100">
        <v>0.1</v>
      </c>
      <c r="L379" s="51">
        <v>45</v>
      </c>
      <c r="M379" s="106">
        <v>710</v>
      </c>
      <c r="N379" s="103"/>
      <c r="O379" s="37">
        <v>45883</v>
      </c>
      <c r="P379" s="41"/>
      <c r="Q379" s="41" t="s">
        <v>965</v>
      </c>
      <c r="R379" s="41"/>
      <c r="S379" s="41"/>
      <c r="T379" s="102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0"/>
    </row>
    <row r="380" spans="1:31" hidden="1" x14ac:dyDescent="0.25">
      <c r="A380" s="41">
        <f t="shared" si="5"/>
        <v>379</v>
      </c>
      <c r="B380" s="41" t="s">
        <v>163</v>
      </c>
      <c r="C380" s="41" t="s">
        <v>682</v>
      </c>
      <c r="D380" s="42" t="s">
        <v>690</v>
      </c>
      <c r="E380" s="43" t="s">
        <v>171</v>
      </c>
      <c r="F380" s="41" t="s">
        <v>198</v>
      </c>
      <c r="G380" s="41" t="s">
        <v>272</v>
      </c>
      <c r="H380" s="41" t="s">
        <v>248</v>
      </c>
      <c r="I380" s="44">
        <v>136485</v>
      </c>
      <c r="J380" s="41">
        <v>3033</v>
      </c>
      <c r="K380" s="100">
        <v>0.85</v>
      </c>
      <c r="L380" s="51">
        <v>45</v>
      </c>
      <c r="M380" s="106">
        <v>11</v>
      </c>
      <c r="N380" s="103"/>
      <c r="O380" s="37">
        <v>45883</v>
      </c>
      <c r="P380" s="41"/>
      <c r="Q380" s="41" t="s">
        <v>881</v>
      </c>
      <c r="R380" s="41"/>
      <c r="S380" s="41"/>
      <c r="T380" s="102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0"/>
    </row>
    <row r="381" spans="1:31" hidden="1" x14ac:dyDescent="0.25">
      <c r="A381" s="41">
        <f t="shared" si="5"/>
        <v>380</v>
      </c>
      <c r="B381" s="41" t="s">
        <v>163</v>
      </c>
      <c r="C381" s="41" t="s">
        <v>682</v>
      </c>
      <c r="D381" s="42" t="s">
        <v>691</v>
      </c>
      <c r="E381" s="43" t="s">
        <v>166</v>
      </c>
      <c r="F381" s="41" t="s">
        <v>167</v>
      </c>
      <c r="G381" s="41" t="s">
        <v>328</v>
      </c>
      <c r="H381" s="41" t="s">
        <v>248</v>
      </c>
      <c r="I381" s="44">
        <v>230000</v>
      </c>
      <c r="J381" s="41">
        <v>5347</v>
      </c>
      <c r="K381" s="100">
        <v>1</v>
      </c>
      <c r="L381" s="51">
        <v>45</v>
      </c>
      <c r="M381" s="106">
        <v>853</v>
      </c>
      <c r="N381" s="103"/>
      <c r="O381" s="37">
        <v>45883</v>
      </c>
      <c r="P381" s="41"/>
      <c r="Q381" s="41" t="s">
        <v>966</v>
      </c>
      <c r="R381" s="41"/>
      <c r="S381" s="41"/>
      <c r="T381" s="102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0"/>
    </row>
    <row r="382" spans="1:31" hidden="1" x14ac:dyDescent="0.25">
      <c r="A382" s="41">
        <f t="shared" si="5"/>
        <v>381</v>
      </c>
      <c r="B382" s="41" t="s">
        <v>163</v>
      </c>
      <c r="C382" s="41" t="s">
        <v>682</v>
      </c>
      <c r="D382" s="42" t="s">
        <v>692</v>
      </c>
      <c r="E382" s="43" t="s">
        <v>166</v>
      </c>
      <c r="F382" s="41" t="s">
        <v>167</v>
      </c>
      <c r="G382" s="41" t="s">
        <v>450</v>
      </c>
      <c r="H382" s="41" t="s">
        <v>248</v>
      </c>
      <c r="I382" s="44">
        <v>480780</v>
      </c>
      <c r="J382" s="41">
        <v>10684</v>
      </c>
      <c r="K382" s="100">
        <v>0.9</v>
      </c>
      <c r="L382" s="51">
        <v>45</v>
      </c>
      <c r="M382" s="87">
        <v>1433</v>
      </c>
      <c r="N382" s="103"/>
      <c r="O382" s="88">
        <v>45883</v>
      </c>
      <c r="P382" s="41"/>
      <c r="Q382" s="95" t="s">
        <v>967</v>
      </c>
      <c r="R382" s="41"/>
      <c r="S382" s="41"/>
      <c r="T382" s="93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0"/>
    </row>
    <row r="383" spans="1:31" hidden="1" x14ac:dyDescent="0.25">
      <c r="A383" s="41">
        <f t="shared" si="5"/>
        <v>382</v>
      </c>
      <c r="B383" s="41" t="s">
        <v>163</v>
      </c>
      <c r="C383" s="41" t="s">
        <v>682</v>
      </c>
      <c r="D383" s="42" t="s">
        <v>693</v>
      </c>
      <c r="E383" s="43" t="s">
        <v>166</v>
      </c>
      <c r="F383" s="41" t="s">
        <v>167</v>
      </c>
      <c r="G383" s="41" t="s">
        <v>450</v>
      </c>
      <c r="H383" s="41" t="s">
        <v>248</v>
      </c>
      <c r="I383" s="44">
        <v>384075</v>
      </c>
      <c r="J383" s="41">
        <v>8535</v>
      </c>
      <c r="K383" s="100">
        <v>0.96</v>
      </c>
      <c r="L383" s="51">
        <v>45</v>
      </c>
      <c r="M383" s="94"/>
      <c r="N383" s="103"/>
      <c r="O383" s="97"/>
      <c r="P383" s="41"/>
      <c r="Q383" s="96"/>
      <c r="R383" s="41"/>
      <c r="S383" s="41"/>
      <c r="T383" s="116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0"/>
    </row>
    <row r="384" spans="1:31" hidden="1" x14ac:dyDescent="0.25">
      <c r="A384" s="41">
        <f t="shared" si="5"/>
        <v>383</v>
      </c>
      <c r="B384" s="41" t="s">
        <v>163</v>
      </c>
      <c r="C384" s="41" t="s">
        <v>85</v>
      </c>
      <c r="D384" s="42" t="s">
        <v>694</v>
      </c>
      <c r="E384" s="43" t="s">
        <v>166</v>
      </c>
      <c r="F384" s="43" t="s">
        <v>167</v>
      </c>
      <c r="G384" s="41" t="s">
        <v>195</v>
      </c>
      <c r="H384" s="41" t="s">
        <v>169</v>
      </c>
      <c r="I384" s="44">
        <v>230000</v>
      </c>
      <c r="J384" s="41"/>
      <c r="K384" s="100">
        <v>0.65</v>
      </c>
      <c r="L384" s="51">
        <v>50</v>
      </c>
      <c r="M384" s="41"/>
      <c r="N384" s="103"/>
      <c r="O384" s="37"/>
      <c r="P384" s="41"/>
      <c r="Q384" s="41"/>
      <c r="R384" s="41"/>
      <c r="S384" s="41"/>
      <c r="T384" s="102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0"/>
    </row>
    <row r="385" spans="1:31" ht="14.45" hidden="1" customHeight="1" x14ac:dyDescent="0.25">
      <c r="A385" s="41">
        <f t="shared" si="5"/>
        <v>384</v>
      </c>
      <c r="B385" s="41" t="s">
        <v>163</v>
      </c>
      <c r="C385" s="41" t="s">
        <v>85</v>
      </c>
      <c r="D385" s="41" t="s">
        <v>1060</v>
      </c>
      <c r="E385" s="43" t="s">
        <v>171</v>
      </c>
      <c r="F385" s="43" t="s">
        <v>181</v>
      </c>
      <c r="G385" s="41" t="s">
        <v>695</v>
      </c>
      <c r="H385" s="41" t="s">
        <v>169</v>
      </c>
      <c r="I385" s="44">
        <v>50000</v>
      </c>
      <c r="J385" s="41"/>
      <c r="K385" s="100">
        <v>0.9</v>
      </c>
      <c r="L385" s="51">
        <v>50</v>
      </c>
      <c r="M385" s="41"/>
      <c r="N385" s="103"/>
      <c r="O385" s="37"/>
      <c r="P385" s="41"/>
      <c r="Q385" s="41"/>
      <c r="R385" s="41"/>
      <c r="S385" s="41"/>
      <c r="T385" s="102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120" t="s">
        <v>1061</v>
      </c>
    </row>
    <row r="386" spans="1:31" hidden="1" x14ac:dyDescent="0.25">
      <c r="A386" s="41">
        <f t="shared" si="5"/>
        <v>385</v>
      </c>
      <c r="B386" s="41" t="s">
        <v>163</v>
      </c>
      <c r="C386" s="41" t="s">
        <v>85</v>
      </c>
      <c r="D386" s="42" t="s">
        <v>696</v>
      </c>
      <c r="E386" s="43" t="s">
        <v>171</v>
      </c>
      <c r="F386" s="43" t="s">
        <v>181</v>
      </c>
      <c r="G386" s="41" t="s">
        <v>697</v>
      </c>
      <c r="H386" s="41" t="s">
        <v>169</v>
      </c>
      <c r="I386" s="44">
        <v>36000</v>
      </c>
      <c r="J386" s="41"/>
      <c r="K386" s="100">
        <v>1</v>
      </c>
      <c r="L386" s="53">
        <v>50</v>
      </c>
      <c r="M386" s="41"/>
      <c r="N386" s="103"/>
      <c r="O386" s="37"/>
      <c r="P386" s="41"/>
      <c r="Q386" s="41"/>
      <c r="R386" s="41"/>
      <c r="S386" s="41"/>
      <c r="T386" s="102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85" t="s">
        <v>696</v>
      </c>
    </row>
    <row r="387" spans="1:31" ht="14.45" hidden="1" customHeight="1" x14ac:dyDescent="0.25">
      <c r="A387" s="41">
        <f t="shared" si="5"/>
        <v>386</v>
      </c>
      <c r="B387" s="41" t="s">
        <v>163</v>
      </c>
      <c r="C387" s="41" t="s">
        <v>698</v>
      </c>
      <c r="D387" s="42" t="s">
        <v>699</v>
      </c>
      <c r="E387" s="43" t="s">
        <v>171</v>
      </c>
      <c r="F387" s="41" t="s">
        <v>181</v>
      </c>
      <c r="G387" s="41" t="s">
        <v>700</v>
      </c>
      <c r="H387" s="41" t="s">
        <v>169</v>
      </c>
      <c r="I387" s="44">
        <v>20000</v>
      </c>
      <c r="J387" s="41">
        <v>400</v>
      </c>
      <c r="K387" s="100">
        <v>0.8</v>
      </c>
      <c r="L387" s="57">
        <v>50</v>
      </c>
      <c r="M387" s="106" t="s">
        <v>1051</v>
      </c>
      <c r="N387" s="103"/>
      <c r="O387" s="37">
        <v>45901</v>
      </c>
      <c r="P387" s="41"/>
      <c r="Q387" s="41" t="s">
        <v>881</v>
      </c>
      <c r="R387" s="41"/>
      <c r="S387" s="41"/>
      <c r="T387" s="102" t="s">
        <v>1052</v>
      </c>
      <c r="U387" s="41" t="s">
        <v>983</v>
      </c>
      <c r="V387" s="41"/>
      <c r="W387" s="41" t="s">
        <v>1053</v>
      </c>
      <c r="X387" s="41"/>
      <c r="Y387" s="41"/>
      <c r="Z387" s="41"/>
      <c r="AA387" s="41"/>
      <c r="AB387" s="41"/>
      <c r="AC387" s="41" t="s">
        <v>1054</v>
      </c>
      <c r="AD387" s="41" t="s">
        <v>1018</v>
      </c>
      <c r="AE387" s="120" t="s">
        <v>1055</v>
      </c>
    </row>
    <row r="388" spans="1:31" ht="14.45" hidden="1" customHeight="1" x14ac:dyDescent="0.25">
      <c r="A388" s="41">
        <f t="shared" ref="A388:A451" si="6">A387+1</f>
        <v>387</v>
      </c>
      <c r="B388" s="41" t="s">
        <v>163</v>
      </c>
      <c r="C388" s="41" t="s">
        <v>134</v>
      </c>
      <c r="D388" s="42" t="s">
        <v>701</v>
      </c>
      <c r="E388" s="43" t="s">
        <v>166</v>
      </c>
      <c r="F388" s="43" t="s">
        <v>198</v>
      </c>
      <c r="G388" s="41" t="s">
        <v>702</v>
      </c>
      <c r="H388" s="41" t="s">
        <v>169</v>
      </c>
      <c r="I388" s="44">
        <v>32000</v>
      </c>
      <c r="J388" s="41">
        <v>480</v>
      </c>
      <c r="K388" s="100">
        <v>0.5</v>
      </c>
      <c r="L388" s="51">
        <v>480</v>
      </c>
      <c r="M388" s="41"/>
      <c r="N388" s="103"/>
      <c r="O388" s="37"/>
      <c r="P388" s="41"/>
      <c r="Q388" s="41"/>
      <c r="R388" s="41"/>
      <c r="S388" s="41"/>
      <c r="T388" s="102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122" t="s">
        <v>1056</v>
      </c>
    </row>
    <row r="389" spans="1:31" hidden="1" x14ac:dyDescent="0.25">
      <c r="A389" s="41">
        <f t="shared" si="6"/>
        <v>388</v>
      </c>
      <c r="B389" s="41" t="s">
        <v>163</v>
      </c>
      <c r="C389" s="41" t="s">
        <v>134</v>
      </c>
      <c r="D389" s="42" t="s">
        <v>703</v>
      </c>
      <c r="E389" s="43" t="s">
        <v>166</v>
      </c>
      <c r="F389" s="43" t="s">
        <v>167</v>
      </c>
      <c r="G389" s="41" t="s">
        <v>293</v>
      </c>
      <c r="H389" s="41" t="s">
        <v>248</v>
      </c>
      <c r="I389" s="44">
        <v>20000</v>
      </c>
      <c r="J389" s="41">
        <v>220</v>
      </c>
      <c r="K389" s="100">
        <v>1</v>
      </c>
      <c r="L389" s="51">
        <v>220</v>
      </c>
      <c r="M389" s="41"/>
      <c r="N389" s="103"/>
      <c r="O389" s="37"/>
      <c r="P389" s="41"/>
      <c r="Q389" s="41"/>
      <c r="R389" s="41"/>
      <c r="S389" s="41"/>
      <c r="T389" s="102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0"/>
    </row>
    <row r="390" spans="1:31" hidden="1" x14ac:dyDescent="0.25">
      <c r="A390" s="41">
        <f t="shared" si="6"/>
        <v>389</v>
      </c>
      <c r="B390" s="41" t="s">
        <v>163</v>
      </c>
      <c r="C390" s="41" t="s">
        <v>704</v>
      </c>
      <c r="D390" s="42" t="s">
        <v>361</v>
      </c>
      <c r="E390" s="43" t="s">
        <v>171</v>
      </c>
      <c r="F390" s="43" t="s">
        <v>181</v>
      </c>
      <c r="G390" s="41" t="s">
        <v>361</v>
      </c>
      <c r="H390" s="41" t="s">
        <v>169</v>
      </c>
      <c r="I390" s="44">
        <v>10000</v>
      </c>
      <c r="J390" s="41">
        <v>200</v>
      </c>
      <c r="K390" s="100">
        <v>0.99</v>
      </c>
      <c r="L390" s="53">
        <v>50</v>
      </c>
      <c r="M390" s="41"/>
      <c r="N390" s="103"/>
      <c r="O390" s="37"/>
      <c r="P390" s="41"/>
      <c r="Q390" s="41"/>
      <c r="R390" s="41"/>
      <c r="S390" s="41"/>
      <c r="T390" s="102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0"/>
    </row>
    <row r="391" spans="1:31" hidden="1" x14ac:dyDescent="0.25">
      <c r="A391" s="41">
        <f t="shared" si="6"/>
        <v>390</v>
      </c>
      <c r="B391" s="41" t="s">
        <v>163</v>
      </c>
      <c r="C391" s="41" t="s">
        <v>704</v>
      </c>
      <c r="D391" s="42" t="s">
        <v>705</v>
      </c>
      <c r="E391" s="43" t="s">
        <v>171</v>
      </c>
      <c r="F391" s="41" t="s">
        <v>172</v>
      </c>
      <c r="G391" s="41" t="s">
        <v>706</v>
      </c>
      <c r="H391" s="41" t="s">
        <v>169</v>
      </c>
      <c r="I391" s="44">
        <v>20000</v>
      </c>
      <c r="J391" s="41">
        <v>400</v>
      </c>
      <c r="K391" s="100">
        <v>0.9</v>
      </c>
      <c r="L391" s="53">
        <v>50</v>
      </c>
      <c r="M391" s="41"/>
      <c r="N391" s="103"/>
      <c r="O391" s="37"/>
      <c r="P391" s="41"/>
      <c r="Q391" s="41"/>
      <c r="R391" s="41"/>
      <c r="S391" s="41"/>
      <c r="T391" s="102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0"/>
    </row>
    <row r="392" spans="1:31" hidden="1" x14ac:dyDescent="0.25">
      <c r="A392" s="41">
        <f t="shared" si="6"/>
        <v>391</v>
      </c>
      <c r="B392" s="41" t="s">
        <v>163</v>
      </c>
      <c r="C392" s="41" t="s">
        <v>704</v>
      </c>
      <c r="D392" s="42" t="s">
        <v>707</v>
      </c>
      <c r="E392" s="43" t="s">
        <v>171</v>
      </c>
      <c r="F392" s="43" t="s">
        <v>208</v>
      </c>
      <c r="G392" s="41" t="s">
        <v>707</v>
      </c>
      <c r="H392" s="41" t="s">
        <v>169</v>
      </c>
      <c r="I392" s="44">
        <v>30000</v>
      </c>
      <c r="J392" s="41">
        <v>600</v>
      </c>
      <c r="K392" s="100">
        <v>0.95</v>
      </c>
      <c r="L392" s="53">
        <v>50</v>
      </c>
      <c r="M392" s="41"/>
      <c r="N392" s="103"/>
      <c r="O392" s="37"/>
      <c r="P392" s="41"/>
      <c r="Q392" s="41"/>
      <c r="R392" s="41"/>
      <c r="S392" s="41"/>
      <c r="T392" s="102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0"/>
    </row>
    <row r="393" spans="1:31" hidden="1" x14ac:dyDescent="0.25">
      <c r="A393" s="41">
        <f t="shared" si="6"/>
        <v>392</v>
      </c>
      <c r="B393" s="41" t="s">
        <v>163</v>
      </c>
      <c r="C393" s="41" t="s">
        <v>708</v>
      </c>
      <c r="D393" s="42" t="s">
        <v>709</v>
      </c>
      <c r="E393" s="43" t="s">
        <v>166</v>
      </c>
      <c r="F393" s="41" t="s">
        <v>176</v>
      </c>
      <c r="G393" s="41" t="s">
        <v>710</v>
      </c>
      <c r="H393" s="41" t="s">
        <v>169</v>
      </c>
      <c r="I393" s="44">
        <v>37449</v>
      </c>
      <c r="J393" s="45">
        <v>534.98571428571427</v>
      </c>
      <c r="K393" s="100">
        <v>0.85</v>
      </c>
      <c r="L393" s="56">
        <v>70</v>
      </c>
      <c r="M393" s="106">
        <v>96</v>
      </c>
      <c r="N393" s="103"/>
      <c r="O393" s="37">
        <v>45888</v>
      </c>
      <c r="P393" s="41"/>
      <c r="Q393" s="41" t="s">
        <v>979</v>
      </c>
      <c r="R393" s="41"/>
      <c r="S393" s="41"/>
      <c r="T393" s="107">
        <v>22500</v>
      </c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0"/>
    </row>
    <row r="394" spans="1:31" x14ac:dyDescent="0.25">
      <c r="A394" s="41">
        <f t="shared" si="6"/>
        <v>393</v>
      </c>
      <c r="B394" s="41" t="s">
        <v>163</v>
      </c>
      <c r="C394" s="41" t="s">
        <v>708</v>
      </c>
      <c r="D394" s="42" t="s">
        <v>711</v>
      </c>
      <c r="E394" s="43" t="s">
        <v>166</v>
      </c>
      <c r="F394" s="41" t="s">
        <v>215</v>
      </c>
      <c r="G394" s="41" t="s">
        <v>712</v>
      </c>
      <c r="H394" s="41" t="s">
        <v>169</v>
      </c>
      <c r="I394" s="44">
        <v>8792</v>
      </c>
      <c r="J394" s="41">
        <v>125.6</v>
      </c>
      <c r="K394" s="100">
        <v>1</v>
      </c>
      <c r="L394" s="56">
        <v>70</v>
      </c>
      <c r="M394" s="109">
        <v>0</v>
      </c>
      <c r="N394" s="103"/>
      <c r="O394" s="37">
        <v>45888</v>
      </c>
      <c r="P394" s="41"/>
      <c r="Q394" s="41"/>
      <c r="R394" s="41"/>
      <c r="S394" s="41"/>
      <c r="T394" s="102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0"/>
    </row>
    <row r="395" spans="1:31" x14ac:dyDescent="0.25">
      <c r="A395" s="41">
        <f t="shared" si="6"/>
        <v>394</v>
      </c>
      <c r="B395" s="41" t="s">
        <v>163</v>
      </c>
      <c r="C395" s="41" t="s">
        <v>708</v>
      </c>
      <c r="D395" s="42" t="s">
        <v>711</v>
      </c>
      <c r="E395" s="43" t="s">
        <v>166</v>
      </c>
      <c r="F395" s="41" t="s">
        <v>215</v>
      </c>
      <c r="G395" s="41" t="s">
        <v>712</v>
      </c>
      <c r="H395" s="41" t="s">
        <v>169</v>
      </c>
      <c r="I395" s="44">
        <v>17456</v>
      </c>
      <c r="J395" s="41">
        <v>249</v>
      </c>
      <c r="K395" s="100">
        <v>1</v>
      </c>
      <c r="L395" s="56">
        <v>70</v>
      </c>
      <c r="M395" s="109">
        <v>0</v>
      </c>
      <c r="N395" s="103"/>
      <c r="O395" s="37">
        <v>45888</v>
      </c>
      <c r="P395" s="41"/>
      <c r="Q395" s="41"/>
      <c r="R395" s="41"/>
      <c r="S395" s="41"/>
      <c r="T395" s="102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0"/>
    </row>
    <row r="396" spans="1:31" x14ac:dyDescent="0.25">
      <c r="A396" s="41">
        <f t="shared" si="6"/>
        <v>395</v>
      </c>
      <c r="B396" s="41" t="s">
        <v>163</v>
      </c>
      <c r="C396" s="41" t="s">
        <v>708</v>
      </c>
      <c r="D396" s="42" t="s">
        <v>713</v>
      </c>
      <c r="E396" s="43" t="s">
        <v>166</v>
      </c>
      <c r="F396" s="41" t="s">
        <v>181</v>
      </c>
      <c r="G396" s="41" t="s">
        <v>714</v>
      </c>
      <c r="H396" s="41" t="s">
        <v>169</v>
      </c>
      <c r="I396" s="44">
        <v>156850</v>
      </c>
      <c r="J396" s="41">
        <v>2240</v>
      </c>
      <c r="K396" s="100">
        <v>0.8</v>
      </c>
      <c r="L396" s="56">
        <v>70</v>
      </c>
      <c r="M396" s="109">
        <v>0</v>
      </c>
      <c r="N396" s="103"/>
      <c r="O396" s="37">
        <v>45888</v>
      </c>
      <c r="P396" s="41"/>
      <c r="Q396" s="41"/>
      <c r="R396" s="41"/>
      <c r="S396" s="41"/>
      <c r="T396" s="102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0"/>
    </row>
    <row r="397" spans="1:31" x14ac:dyDescent="0.25">
      <c r="A397" s="41">
        <f t="shared" si="6"/>
        <v>396</v>
      </c>
      <c r="B397" s="41" t="s">
        <v>163</v>
      </c>
      <c r="C397" s="41" t="s">
        <v>708</v>
      </c>
      <c r="D397" s="42" t="s">
        <v>715</v>
      </c>
      <c r="E397" s="43" t="s">
        <v>166</v>
      </c>
      <c r="F397" s="41" t="s">
        <v>167</v>
      </c>
      <c r="G397" s="41" t="s">
        <v>240</v>
      </c>
      <c r="H397" s="41" t="s">
        <v>248</v>
      </c>
      <c r="I397" s="44">
        <v>252624</v>
      </c>
      <c r="J397" s="41">
        <v>3608.9142857142856</v>
      </c>
      <c r="K397" s="100">
        <v>1</v>
      </c>
      <c r="L397" s="56">
        <v>70</v>
      </c>
      <c r="M397" s="109">
        <v>0</v>
      </c>
      <c r="N397" s="103"/>
      <c r="O397" s="37">
        <v>45888</v>
      </c>
      <c r="P397" s="41"/>
      <c r="Q397" s="41"/>
      <c r="R397" s="41"/>
      <c r="S397" s="41"/>
      <c r="T397" s="102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0"/>
    </row>
    <row r="398" spans="1:31" x14ac:dyDescent="0.25">
      <c r="A398" s="41">
        <f t="shared" si="6"/>
        <v>397</v>
      </c>
      <c r="B398" s="41" t="s">
        <v>163</v>
      </c>
      <c r="C398" s="41" t="s">
        <v>708</v>
      </c>
      <c r="D398" s="42" t="s">
        <v>716</v>
      </c>
      <c r="E398" s="43" t="s">
        <v>166</v>
      </c>
      <c r="F398" s="41" t="s">
        <v>167</v>
      </c>
      <c r="G398" s="41" t="s">
        <v>328</v>
      </c>
      <c r="H398" s="41" t="s">
        <v>248</v>
      </c>
      <c r="I398" s="44">
        <v>17575</v>
      </c>
      <c r="J398" s="41">
        <v>251.07142857142858</v>
      </c>
      <c r="K398" s="100">
        <v>1</v>
      </c>
      <c r="L398" s="56">
        <v>70</v>
      </c>
      <c r="M398" s="109">
        <v>0</v>
      </c>
      <c r="N398" s="103"/>
      <c r="O398" s="37">
        <v>45888</v>
      </c>
      <c r="P398" s="41"/>
      <c r="Q398" s="41"/>
      <c r="R398" s="41"/>
      <c r="S398" s="41"/>
      <c r="T398" s="102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0"/>
    </row>
    <row r="399" spans="1:31" x14ac:dyDescent="0.25">
      <c r="A399" s="41">
        <f t="shared" si="6"/>
        <v>398</v>
      </c>
      <c r="B399" s="41" t="s">
        <v>163</v>
      </c>
      <c r="C399" s="41" t="s">
        <v>708</v>
      </c>
      <c r="D399" s="42" t="s">
        <v>716</v>
      </c>
      <c r="E399" s="43" t="s">
        <v>166</v>
      </c>
      <c r="F399" s="41" t="s">
        <v>167</v>
      </c>
      <c r="G399" s="41" t="s">
        <v>328</v>
      </c>
      <c r="H399" s="41" t="s">
        <v>169</v>
      </c>
      <c r="I399" s="44">
        <v>22326</v>
      </c>
      <c r="J399" s="41">
        <v>318.94285714285712</v>
      </c>
      <c r="K399" s="100">
        <v>1</v>
      </c>
      <c r="L399" s="56">
        <v>70</v>
      </c>
      <c r="M399" s="109">
        <v>0</v>
      </c>
      <c r="N399" s="103"/>
      <c r="O399" s="37">
        <v>45888</v>
      </c>
      <c r="P399" s="41"/>
      <c r="Q399" s="41"/>
      <c r="R399" s="41"/>
      <c r="S399" s="41"/>
      <c r="T399" s="102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0"/>
    </row>
    <row r="400" spans="1:31" hidden="1" x14ac:dyDescent="0.25">
      <c r="A400" s="41">
        <f t="shared" si="6"/>
        <v>399</v>
      </c>
      <c r="B400" s="41" t="s">
        <v>163</v>
      </c>
      <c r="C400" s="41" t="s">
        <v>708</v>
      </c>
      <c r="D400" s="42" t="s">
        <v>717</v>
      </c>
      <c r="E400" s="43" t="s">
        <v>166</v>
      </c>
      <c r="F400" s="41" t="s">
        <v>176</v>
      </c>
      <c r="G400" s="41" t="s">
        <v>718</v>
      </c>
      <c r="H400" s="41" t="s">
        <v>169</v>
      </c>
      <c r="I400" s="44">
        <v>15998</v>
      </c>
      <c r="J400" s="45">
        <v>228.54285714285714</v>
      </c>
      <c r="K400" s="100">
        <v>1</v>
      </c>
      <c r="L400" s="56">
        <v>70</v>
      </c>
      <c r="M400" s="106">
        <v>50</v>
      </c>
      <c r="N400" s="103"/>
      <c r="O400" s="37">
        <v>45888</v>
      </c>
      <c r="P400" s="41"/>
      <c r="Q400" s="41" t="s">
        <v>981</v>
      </c>
      <c r="R400" s="41"/>
      <c r="S400" s="41"/>
      <c r="T400" s="107">
        <v>15000</v>
      </c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0"/>
    </row>
    <row r="401" spans="1:31" x14ac:dyDescent="0.25">
      <c r="A401" s="41">
        <f t="shared" si="6"/>
        <v>400</v>
      </c>
      <c r="B401" s="41" t="s">
        <v>163</v>
      </c>
      <c r="C401" s="41" t="s">
        <v>708</v>
      </c>
      <c r="D401" s="42" t="s">
        <v>719</v>
      </c>
      <c r="E401" s="43" t="s">
        <v>166</v>
      </c>
      <c r="F401" s="41" t="s">
        <v>215</v>
      </c>
      <c r="G401" s="41" t="s">
        <v>712</v>
      </c>
      <c r="H401" s="41" t="s">
        <v>248</v>
      </c>
      <c r="I401" s="44">
        <v>15398</v>
      </c>
      <c r="J401" s="41">
        <v>219</v>
      </c>
      <c r="K401" s="100">
        <v>1</v>
      </c>
      <c r="L401" s="56">
        <v>70</v>
      </c>
      <c r="M401" s="109">
        <v>0</v>
      </c>
      <c r="N401" s="103"/>
      <c r="O401" s="37">
        <v>45888</v>
      </c>
      <c r="P401" s="41"/>
      <c r="Q401" s="41"/>
      <c r="R401" s="41"/>
      <c r="S401" s="41"/>
      <c r="T401" s="102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0"/>
    </row>
    <row r="402" spans="1:31" x14ac:dyDescent="0.25">
      <c r="A402" s="41">
        <f t="shared" si="6"/>
        <v>401</v>
      </c>
      <c r="B402" s="41" t="s">
        <v>163</v>
      </c>
      <c r="C402" s="41" t="s">
        <v>708</v>
      </c>
      <c r="D402" s="42" t="s">
        <v>720</v>
      </c>
      <c r="E402" s="43" t="s">
        <v>166</v>
      </c>
      <c r="F402" s="41" t="s">
        <v>198</v>
      </c>
      <c r="G402" s="41" t="s">
        <v>224</v>
      </c>
      <c r="H402" s="41" t="s">
        <v>248</v>
      </c>
      <c r="I402" s="44">
        <v>347234</v>
      </c>
      <c r="J402" s="41">
        <v>4960.4857142857145</v>
      </c>
      <c r="K402" s="100">
        <v>1</v>
      </c>
      <c r="L402" s="56">
        <v>70</v>
      </c>
      <c r="M402" s="109">
        <v>0</v>
      </c>
      <c r="N402" s="103"/>
      <c r="O402" s="37">
        <v>45888</v>
      </c>
      <c r="P402" s="41"/>
      <c r="Q402" s="41"/>
      <c r="R402" s="41"/>
      <c r="S402" s="41"/>
      <c r="T402" s="102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0"/>
    </row>
    <row r="403" spans="1:31" x14ac:dyDescent="0.25">
      <c r="A403" s="41">
        <f t="shared" si="6"/>
        <v>402</v>
      </c>
      <c r="B403" s="41" t="s">
        <v>163</v>
      </c>
      <c r="C403" s="41" t="s">
        <v>708</v>
      </c>
      <c r="D403" s="42" t="s">
        <v>721</v>
      </c>
      <c r="E403" s="43" t="s">
        <v>166</v>
      </c>
      <c r="F403" s="41" t="s">
        <v>176</v>
      </c>
      <c r="G403" s="41" t="s">
        <v>680</v>
      </c>
      <c r="H403" s="41" t="s">
        <v>169</v>
      </c>
      <c r="I403" s="44">
        <v>51044</v>
      </c>
      <c r="J403" s="41">
        <v>729.2</v>
      </c>
      <c r="K403" s="100">
        <v>1</v>
      </c>
      <c r="L403" s="56">
        <v>70</v>
      </c>
      <c r="M403" s="109">
        <v>0</v>
      </c>
      <c r="N403" s="103"/>
      <c r="O403" s="37">
        <v>45888</v>
      </c>
      <c r="P403" s="41"/>
      <c r="Q403" s="41"/>
      <c r="R403" s="41"/>
      <c r="S403" s="41"/>
      <c r="T403" s="102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0"/>
    </row>
    <row r="404" spans="1:31" x14ac:dyDescent="0.25">
      <c r="A404" s="41">
        <f t="shared" si="6"/>
        <v>403</v>
      </c>
      <c r="B404" s="41" t="s">
        <v>163</v>
      </c>
      <c r="C404" s="41" t="s">
        <v>708</v>
      </c>
      <c r="D404" s="42" t="s">
        <v>722</v>
      </c>
      <c r="E404" s="43" t="s">
        <v>166</v>
      </c>
      <c r="F404" s="41" t="s">
        <v>176</v>
      </c>
      <c r="G404" s="41" t="s">
        <v>357</v>
      </c>
      <c r="H404" s="41" t="s">
        <v>169</v>
      </c>
      <c r="I404" s="44">
        <v>73923</v>
      </c>
      <c r="J404" s="45">
        <v>1056.0428571428572</v>
      </c>
      <c r="K404" s="100">
        <v>1</v>
      </c>
      <c r="L404" s="56">
        <v>70</v>
      </c>
      <c r="M404" s="109">
        <v>0</v>
      </c>
      <c r="N404" s="103"/>
      <c r="O404" s="37">
        <v>45888</v>
      </c>
      <c r="P404" s="41"/>
      <c r="Q404" s="41"/>
      <c r="R404" s="41"/>
      <c r="S404" s="41"/>
      <c r="T404" s="102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0"/>
    </row>
    <row r="405" spans="1:31" hidden="1" x14ac:dyDescent="0.25">
      <c r="A405" s="41">
        <f t="shared" si="6"/>
        <v>404</v>
      </c>
      <c r="B405" s="41" t="s">
        <v>163</v>
      </c>
      <c r="C405" s="41" t="s">
        <v>708</v>
      </c>
      <c r="D405" s="42" t="s">
        <v>974</v>
      </c>
      <c r="E405" s="43" t="s">
        <v>166</v>
      </c>
      <c r="F405" s="41" t="s">
        <v>167</v>
      </c>
      <c r="G405" s="41" t="s">
        <v>328</v>
      </c>
      <c r="H405" s="41" t="s">
        <v>248</v>
      </c>
      <c r="I405" s="44">
        <v>97785</v>
      </c>
      <c r="J405" s="41">
        <v>1396.9285714285713</v>
      </c>
      <c r="K405" s="100">
        <v>1</v>
      </c>
      <c r="L405" s="56">
        <v>70</v>
      </c>
      <c r="M405" s="106">
        <v>1800</v>
      </c>
      <c r="N405" s="103"/>
      <c r="O405" s="37">
        <v>45888</v>
      </c>
      <c r="P405" s="41"/>
      <c r="Q405" s="41" t="s">
        <v>976</v>
      </c>
      <c r="R405" s="41"/>
      <c r="S405" s="41"/>
      <c r="T405" s="102" t="s">
        <v>977</v>
      </c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0"/>
    </row>
    <row r="406" spans="1:31" hidden="1" x14ac:dyDescent="0.25">
      <c r="A406" s="41">
        <f t="shared" si="6"/>
        <v>405</v>
      </c>
      <c r="B406" s="41" t="s">
        <v>163</v>
      </c>
      <c r="C406" s="41" t="s">
        <v>708</v>
      </c>
      <c r="D406" s="42" t="s">
        <v>975</v>
      </c>
      <c r="E406" s="43" t="s">
        <v>166</v>
      </c>
      <c r="F406" s="41" t="s">
        <v>167</v>
      </c>
      <c r="G406" s="41" t="s">
        <v>328</v>
      </c>
      <c r="H406" s="41" t="s">
        <v>169</v>
      </c>
      <c r="I406" s="44">
        <v>24964</v>
      </c>
      <c r="J406" s="41">
        <v>356.62857142857143</v>
      </c>
      <c r="K406" s="100">
        <v>1</v>
      </c>
      <c r="L406" s="56">
        <v>70</v>
      </c>
      <c r="M406" s="106">
        <v>100</v>
      </c>
      <c r="N406" s="103"/>
      <c r="O406" s="37">
        <v>45888</v>
      </c>
      <c r="P406" s="41"/>
      <c r="Q406" s="41"/>
      <c r="R406" s="41"/>
      <c r="S406" s="41"/>
      <c r="T406" s="107">
        <v>12500</v>
      </c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0"/>
    </row>
    <row r="407" spans="1:31" x14ac:dyDescent="0.25">
      <c r="A407" s="41">
        <f t="shared" si="6"/>
        <v>406</v>
      </c>
      <c r="B407" s="41" t="s">
        <v>163</v>
      </c>
      <c r="C407" s="41" t="s">
        <v>708</v>
      </c>
      <c r="D407" s="42" t="s">
        <v>715</v>
      </c>
      <c r="E407" s="43" t="s">
        <v>166</v>
      </c>
      <c r="F407" s="41" t="s">
        <v>167</v>
      </c>
      <c r="G407" s="41" t="s">
        <v>240</v>
      </c>
      <c r="H407" s="41" t="s">
        <v>248</v>
      </c>
      <c r="I407" s="44">
        <v>64242</v>
      </c>
      <c r="J407" s="41">
        <v>917.74285714285713</v>
      </c>
      <c r="K407" s="100">
        <v>1</v>
      </c>
      <c r="L407" s="56">
        <v>70</v>
      </c>
      <c r="M407" s="109">
        <v>0</v>
      </c>
      <c r="N407" s="103"/>
      <c r="O407" s="37">
        <v>45888</v>
      </c>
      <c r="P407" s="41"/>
      <c r="Q407" s="41"/>
      <c r="R407" s="41"/>
      <c r="S407" s="41"/>
      <c r="T407" s="102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0"/>
    </row>
    <row r="408" spans="1:31" hidden="1" x14ac:dyDescent="0.25">
      <c r="A408" s="41">
        <f t="shared" si="6"/>
        <v>407</v>
      </c>
      <c r="B408" s="41" t="s">
        <v>163</v>
      </c>
      <c r="C408" s="41" t="s">
        <v>708</v>
      </c>
      <c r="D408" s="42" t="s">
        <v>723</v>
      </c>
      <c r="E408" s="43" t="s">
        <v>166</v>
      </c>
      <c r="F408" s="41" t="s">
        <v>181</v>
      </c>
      <c r="G408" s="41" t="s">
        <v>213</v>
      </c>
      <c r="H408" s="41" t="s">
        <v>169</v>
      </c>
      <c r="I408" s="44">
        <v>80270</v>
      </c>
      <c r="J408" s="41">
        <v>1146.7142857142858</v>
      </c>
      <c r="K408" s="100">
        <v>0.9</v>
      </c>
      <c r="L408" s="56">
        <v>70</v>
      </c>
      <c r="M408" s="106">
        <v>800</v>
      </c>
      <c r="N408" s="103"/>
      <c r="O408" s="37">
        <v>45888</v>
      </c>
      <c r="P408" s="41"/>
      <c r="Q408" s="101" t="s">
        <v>973</v>
      </c>
      <c r="R408" s="41"/>
      <c r="S408" s="41"/>
      <c r="T408" s="107">
        <v>10500</v>
      </c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0"/>
    </row>
    <row r="409" spans="1:31" x14ac:dyDescent="0.25">
      <c r="A409" s="41">
        <f t="shared" si="6"/>
        <v>408</v>
      </c>
      <c r="B409" s="41" t="s">
        <v>163</v>
      </c>
      <c r="C409" s="41" t="s">
        <v>708</v>
      </c>
      <c r="D409" s="42" t="s">
        <v>595</v>
      </c>
      <c r="E409" s="43" t="s">
        <v>166</v>
      </c>
      <c r="F409" s="41" t="s">
        <v>198</v>
      </c>
      <c r="G409" s="41" t="s">
        <v>224</v>
      </c>
      <c r="H409" s="41" t="s">
        <v>248</v>
      </c>
      <c r="I409" s="44">
        <v>458063</v>
      </c>
      <c r="J409" s="41">
        <v>6543.7571428571428</v>
      </c>
      <c r="K409" s="100">
        <v>1</v>
      </c>
      <c r="L409" s="56">
        <v>70</v>
      </c>
      <c r="M409" s="109">
        <v>0</v>
      </c>
      <c r="N409" s="103"/>
      <c r="O409" s="37">
        <v>45888</v>
      </c>
      <c r="P409" s="41"/>
      <c r="Q409" s="41"/>
      <c r="R409" s="41"/>
      <c r="S409" s="41"/>
      <c r="T409" s="102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0"/>
    </row>
    <row r="410" spans="1:31" x14ac:dyDescent="0.25">
      <c r="A410" s="41">
        <f t="shared" si="6"/>
        <v>409</v>
      </c>
      <c r="B410" s="41" t="s">
        <v>163</v>
      </c>
      <c r="C410" s="41" t="s">
        <v>708</v>
      </c>
      <c r="D410" s="42" t="s">
        <v>595</v>
      </c>
      <c r="E410" s="43" t="s">
        <v>166</v>
      </c>
      <c r="F410" s="41" t="s">
        <v>198</v>
      </c>
      <c r="G410" s="41" t="s">
        <v>224</v>
      </c>
      <c r="H410" s="41" t="s">
        <v>169</v>
      </c>
      <c r="I410" s="44">
        <v>84390</v>
      </c>
      <c r="J410" s="41">
        <v>1205.5714285714287</v>
      </c>
      <c r="K410" s="100">
        <v>1</v>
      </c>
      <c r="L410" s="56">
        <v>70</v>
      </c>
      <c r="M410" s="109">
        <v>0</v>
      </c>
      <c r="N410" s="103"/>
      <c r="O410" s="37">
        <v>45888</v>
      </c>
      <c r="P410" s="41"/>
      <c r="Q410" s="41"/>
      <c r="R410" s="41"/>
      <c r="S410" s="41"/>
      <c r="T410" s="102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0"/>
    </row>
    <row r="411" spans="1:31" x14ac:dyDescent="0.25">
      <c r="A411" s="41">
        <f t="shared" si="6"/>
        <v>410</v>
      </c>
      <c r="B411" s="41" t="s">
        <v>163</v>
      </c>
      <c r="C411" s="41" t="s">
        <v>708</v>
      </c>
      <c r="D411" s="42" t="s">
        <v>724</v>
      </c>
      <c r="E411" s="43" t="s">
        <v>166</v>
      </c>
      <c r="F411" s="41" t="s">
        <v>167</v>
      </c>
      <c r="G411" s="41" t="s">
        <v>168</v>
      </c>
      <c r="H411" s="41" t="s">
        <v>169</v>
      </c>
      <c r="I411" s="44">
        <v>75428</v>
      </c>
      <c r="J411" s="41">
        <v>1077.5428571428572</v>
      </c>
      <c r="K411" s="100">
        <v>0.7</v>
      </c>
      <c r="L411" s="56">
        <v>70</v>
      </c>
      <c r="M411" s="109">
        <v>0</v>
      </c>
      <c r="N411" s="103"/>
      <c r="O411" s="37">
        <v>45888</v>
      </c>
      <c r="P411" s="41"/>
      <c r="Q411" s="41"/>
      <c r="R411" s="41"/>
      <c r="S411" s="41"/>
      <c r="T411" s="102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0"/>
    </row>
    <row r="412" spans="1:31" x14ac:dyDescent="0.25">
      <c r="A412" s="41">
        <f t="shared" si="6"/>
        <v>411</v>
      </c>
      <c r="B412" s="41" t="s">
        <v>163</v>
      </c>
      <c r="C412" s="41" t="s">
        <v>708</v>
      </c>
      <c r="D412" s="42" t="s">
        <v>725</v>
      </c>
      <c r="E412" s="43" t="s">
        <v>166</v>
      </c>
      <c r="F412" s="41" t="s">
        <v>167</v>
      </c>
      <c r="G412" s="41" t="s">
        <v>168</v>
      </c>
      <c r="H412" s="41" t="s">
        <v>248</v>
      </c>
      <c r="I412" s="44">
        <v>19346</v>
      </c>
      <c r="J412" s="41">
        <v>276.37142857142857</v>
      </c>
      <c r="K412" s="100">
        <v>1</v>
      </c>
      <c r="L412" s="56">
        <v>70</v>
      </c>
      <c r="M412" s="109">
        <v>0</v>
      </c>
      <c r="N412" s="103"/>
      <c r="O412" s="37">
        <v>45888</v>
      </c>
      <c r="P412" s="41"/>
      <c r="Q412" s="41"/>
      <c r="R412" s="41"/>
      <c r="S412" s="41"/>
      <c r="T412" s="102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0"/>
    </row>
    <row r="413" spans="1:31" x14ac:dyDescent="0.25">
      <c r="A413" s="41">
        <f t="shared" si="6"/>
        <v>412</v>
      </c>
      <c r="B413" s="41" t="s">
        <v>163</v>
      </c>
      <c r="C413" s="41" t="s">
        <v>708</v>
      </c>
      <c r="D413" s="42" t="s">
        <v>726</v>
      </c>
      <c r="E413" s="43" t="s">
        <v>166</v>
      </c>
      <c r="F413" s="43" t="s">
        <v>215</v>
      </c>
      <c r="G413" s="41" t="s">
        <v>655</v>
      </c>
      <c r="H413" s="41" t="s">
        <v>248</v>
      </c>
      <c r="I413" s="44">
        <v>18235</v>
      </c>
      <c r="J413" s="41">
        <v>260.5</v>
      </c>
      <c r="K413" s="100">
        <v>1</v>
      </c>
      <c r="L413" s="56">
        <v>70</v>
      </c>
      <c r="M413" s="109">
        <v>0</v>
      </c>
      <c r="N413" s="103"/>
      <c r="O413" s="37">
        <v>45888</v>
      </c>
      <c r="P413" s="41"/>
      <c r="Q413" s="41"/>
      <c r="R413" s="41"/>
      <c r="S413" s="41"/>
      <c r="T413" s="102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0"/>
    </row>
    <row r="414" spans="1:31" hidden="1" x14ac:dyDescent="0.25">
      <c r="A414" s="41">
        <f t="shared" si="6"/>
        <v>413</v>
      </c>
      <c r="B414" s="41" t="s">
        <v>163</v>
      </c>
      <c r="C414" s="41" t="s">
        <v>708</v>
      </c>
      <c r="D414" s="42" t="s">
        <v>727</v>
      </c>
      <c r="E414" s="43" t="s">
        <v>166</v>
      </c>
      <c r="F414" s="41" t="s">
        <v>198</v>
      </c>
      <c r="G414" s="41" t="s">
        <v>224</v>
      </c>
      <c r="H414" s="41" t="s">
        <v>169</v>
      </c>
      <c r="I414" s="44">
        <v>20110</v>
      </c>
      <c r="J414" s="41">
        <v>287</v>
      </c>
      <c r="K414" s="100">
        <v>0.7</v>
      </c>
      <c r="L414" s="56">
        <v>70</v>
      </c>
      <c r="M414" s="106">
        <v>100</v>
      </c>
      <c r="N414" s="103"/>
      <c r="O414" s="37">
        <v>45888</v>
      </c>
      <c r="P414" s="41"/>
      <c r="Q414" s="41" t="s">
        <v>878</v>
      </c>
      <c r="R414" s="41"/>
      <c r="S414" s="41"/>
      <c r="T414" s="107">
        <v>8500</v>
      </c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0"/>
    </row>
    <row r="415" spans="1:31" x14ac:dyDescent="0.25">
      <c r="A415" s="41">
        <f t="shared" si="6"/>
        <v>414</v>
      </c>
      <c r="B415" s="41" t="s">
        <v>163</v>
      </c>
      <c r="C415" s="41" t="s">
        <v>708</v>
      </c>
      <c r="D415" s="42" t="s">
        <v>728</v>
      </c>
      <c r="E415" s="43" t="s">
        <v>166</v>
      </c>
      <c r="F415" s="41" t="s">
        <v>176</v>
      </c>
      <c r="G415" s="41" t="s">
        <v>729</v>
      </c>
      <c r="H415" s="41" t="s">
        <v>248</v>
      </c>
      <c r="I415" s="44">
        <v>10108</v>
      </c>
      <c r="J415" s="45">
        <v>144.4</v>
      </c>
      <c r="K415" s="100">
        <v>1</v>
      </c>
      <c r="L415" s="56">
        <v>70</v>
      </c>
      <c r="M415" s="109">
        <v>0</v>
      </c>
      <c r="N415" s="103"/>
      <c r="O415" s="37">
        <v>45888</v>
      </c>
      <c r="P415" s="41"/>
      <c r="Q415" s="41"/>
      <c r="R415" s="41"/>
      <c r="S415" s="41"/>
      <c r="T415" s="102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0"/>
    </row>
    <row r="416" spans="1:31" x14ac:dyDescent="0.25">
      <c r="A416" s="41">
        <f t="shared" si="6"/>
        <v>415</v>
      </c>
      <c r="B416" s="41" t="s">
        <v>163</v>
      </c>
      <c r="C416" s="41" t="s">
        <v>708</v>
      </c>
      <c r="D416" s="42" t="s">
        <v>670</v>
      </c>
      <c r="E416" s="43" t="s">
        <v>166</v>
      </c>
      <c r="F416" s="41" t="s">
        <v>198</v>
      </c>
      <c r="G416" s="41" t="s">
        <v>224</v>
      </c>
      <c r="H416" s="41" t="s">
        <v>248</v>
      </c>
      <c r="I416" s="44">
        <v>89425</v>
      </c>
      <c r="J416" s="41">
        <v>1277</v>
      </c>
      <c r="K416" s="100">
        <v>0.9</v>
      </c>
      <c r="L416" s="56">
        <v>70</v>
      </c>
      <c r="M416" s="109">
        <v>0</v>
      </c>
      <c r="N416" s="103"/>
      <c r="O416" s="37">
        <v>45888</v>
      </c>
      <c r="P416" s="41"/>
      <c r="Q416" s="41"/>
      <c r="R416" s="41"/>
      <c r="S416" s="41"/>
      <c r="T416" s="102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0"/>
    </row>
    <row r="417" spans="1:31" x14ac:dyDescent="0.25">
      <c r="A417" s="41">
        <f t="shared" si="6"/>
        <v>416</v>
      </c>
      <c r="B417" s="41" t="s">
        <v>163</v>
      </c>
      <c r="C417" s="41" t="s">
        <v>708</v>
      </c>
      <c r="D417" s="42" t="s">
        <v>667</v>
      </c>
      <c r="E417" s="43" t="s">
        <v>166</v>
      </c>
      <c r="F417" s="41" t="s">
        <v>176</v>
      </c>
      <c r="G417" s="41" t="s">
        <v>730</v>
      </c>
      <c r="H417" s="41" t="s">
        <v>248</v>
      </c>
      <c r="I417" s="44">
        <v>12776</v>
      </c>
      <c r="J417" s="41">
        <v>182</v>
      </c>
      <c r="K417" s="100">
        <v>1</v>
      </c>
      <c r="L417" s="56">
        <v>70</v>
      </c>
      <c r="M417" s="109">
        <v>0</v>
      </c>
      <c r="N417" s="103"/>
      <c r="O417" s="37">
        <v>45888</v>
      </c>
      <c r="P417" s="41"/>
      <c r="Q417" s="41"/>
      <c r="R417" s="41"/>
      <c r="S417" s="41"/>
      <c r="T417" s="102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0"/>
    </row>
    <row r="418" spans="1:31" x14ac:dyDescent="0.25">
      <c r="A418" s="41">
        <f t="shared" si="6"/>
        <v>417</v>
      </c>
      <c r="B418" s="41" t="s">
        <v>163</v>
      </c>
      <c r="C418" s="41" t="s">
        <v>708</v>
      </c>
      <c r="D418" s="42" t="s">
        <v>731</v>
      </c>
      <c r="E418" s="43" t="s">
        <v>166</v>
      </c>
      <c r="F418" s="41" t="s">
        <v>215</v>
      </c>
      <c r="G418" s="41" t="s">
        <v>347</v>
      </c>
      <c r="H418" s="41" t="s">
        <v>169</v>
      </c>
      <c r="I418" s="44">
        <v>102271</v>
      </c>
      <c r="J418" s="45">
        <v>1461.0142857142857</v>
      </c>
      <c r="K418" s="100">
        <v>1</v>
      </c>
      <c r="L418" s="56">
        <v>70</v>
      </c>
      <c r="M418" s="109">
        <v>0</v>
      </c>
      <c r="N418" s="103"/>
      <c r="O418" s="37">
        <v>45888</v>
      </c>
      <c r="P418" s="41"/>
      <c r="Q418" s="41"/>
      <c r="R418" s="41"/>
      <c r="S418" s="41"/>
      <c r="T418" s="102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0"/>
    </row>
    <row r="419" spans="1:31" hidden="1" x14ac:dyDescent="0.25">
      <c r="A419" s="41">
        <f t="shared" si="6"/>
        <v>418</v>
      </c>
      <c r="B419" s="41" t="s">
        <v>163</v>
      </c>
      <c r="C419" s="41" t="s">
        <v>708</v>
      </c>
      <c r="D419" s="42" t="s">
        <v>731</v>
      </c>
      <c r="E419" s="43" t="s">
        <v>166</v>
      </c>
      <c r="F419" s="41" t="s">
        <v>215</v>
      </c>
      <c r="G419" s="41" t="s">
        <v>347</v>
      </c>
      <c r="H419" s="41" t="s">
        <v>169</v>
      </c>
      <c r="I419" s="44">
        <v>106907</v>
      </c>
      <c r="J419" s="45">
        <v>1527</v>
      </c>
      <c r="K419" s="100">
        <v>0.2</v>
      </c>
      <c r="L419" s="56">
        <v>70</v>
      </c>
      <c r="M419" s="106">
        <v>125</v>
      </c>
      <c r="N419" s="103"/>
      <c r="O419" s="37">
        <v>45888</v>
      </c>
      <c r="P419" s="41"/>
      <c r="Q419" s="41" t="s">
        <v>980</v>
      </c>
      <c r="R419" s="41"/>
      <c r="S419" s="41"/>
      <c r="T419" s="107">
        <v>24000</v>
      </c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0"/>
    </row>
    <row r="420" spans="1:31" x14ac:dyDescent="0.25">
      <c r="A420" s="41">
        <f t="shared" si="6"/>
        <v>419</v>
      </c>
      <c r="B420" s="41" t="s">
        <v>163</v>
      </c>
      <c r="C420" s="41" t="s">
        <v>708</v>
      </c>
      <c r="D420" s="42" t="s">
        <v>732</v>
      </c>
      <c r="E420" s="43" t="s">
        <v>166</v>
      </c>
      <c r="F420" s="41" t="s">
        <v>167</v>
      </c>
      <c r="G420" s="41" t="s">
        <v>247</v>
      </c>
      <c r="H420" s="41" t="s">
        <v>248</v>
      </c>
      <c r="I420" s="44">
        <v>25656</v>
      </c>
      <c r="J420" s="41">
        <v>366</v>
      </c>
      <c r="K420" s="100">
        <v>0.8</v>
      </c>
      <c r="L420" s="56">
        <v>70</v>
      </c>
      <c r="M420" s="109">
        <v>0</v>
      </c>
      <c r="N420" s="103"/>
      <c r="O420" s="37">
        <v>45888</v>
      </c>
      <c r="P420" s="41"/>
      <c r="Q420" s="41"/>
      <c r="R420" s="41"/>
      <c r="S420" s="41"/>
      <c r="T420" s="102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0"/>
    </row>
    <row r="421" spans="1:31" hidden="1" x14ac:dyDescent="0.25">
      <c r="A421" s="41">
        <f t="shared" si="6"/>
        <v>420</v>
      </c>
      <c r="B421" s="41" t="s">
        <v>163</v>
      </c>
      <c r="C421" s="41" t="s">
        <v>708</v>
      </c>
      <c r="D421" s="42" t="s">
        <v>733</v>
      </c>
      <c r="E421" s="43" t="s">
        <v>166</v>
      </c>
      <c r="F421" s="41" t="s">
        <v>167</v>
      </c>
      <c r="G421" s="41" t="s">
        <v>240</v>
      </c>
      <c r="H421" s="41" t="s">
        <v>169</v>
      </c>
      <c r="I421" s="44">
        <v>53665</v>
      </c>
      <c r="J421" s="41">
        <v>766.64285714285711</v>
      </c>
      <c r="K421" s="100">
        <v>0.8</v>
      </c>
      <c r="L421" s="56">
        <v>70</v>
      </c>
      <c r="M421" s="106">
        <v>300</v>
      </c>
      <c r="N421" s="103"/>
      <c r="O421" s="37">
        <v>45888</v>
      </c>
      <c r="P421" s="41"/>
      <c r="Q421" s="41" t="s">
        <v>971</v>
      </c>
      <c r="R421" s="41"/>
      <c r="S421" s="41"/>
      <c r="T421" s="107">
        <v>9500</v>
      </c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0"/>
    </row>
    <row r="422" spans="1:31" x14ac:dyDescent="0.25">
      <c r="A422" s="41">
        <f t="shared" si="6"/>
        <v>421</v>
      </c>
      <c r="B422" s="41" t="s">
        <v>163</v>
      </c>
      <c r="C422" s="41" t="s">
        <v>708</v>
      </c>
      <c r="D422" s="42" t="s">
        <v>734</v>
      </c>
      <c r="E422" s="43" t="s">
        <v>166</v>
      </c>
      <c r="F422" s="41" t="s">
        <v>215</v>
      </c>
      <c r="G422" s="41" t="s">
        <v>712</v>
      </c>
      <c r="H422" s="41" t="s">
        <v>248</v>
      </c>
      <c r="I422" s="44">
        <v>15900</v>
      </c>
      <c r="J422" s="45">
        <v>227.14285714285714</v>
      </c>
      <c r="K422" s="100">
        <v>1</v>
      </c>
      <c r="L422" s="56">
        <v>70</v>
      </c>
      <c r="M422" s="109">
        <v>0</v>
      </c>
      <c r="N422" s="103"/>
      <c r="O422" s="37">
        <v>45888</v>
      </c>
      <c r="P422" s="41"/>
      <c r="Q422" s="41"/>
      <c r="R422" s="41"/>
      <c r="S422" s="41"/>
      <c r="T422" s="102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0"/>
    </row>
    <row r="423" spans="1:31" hidden="1" x14ac:dyDescent="0.25">
      <c r="A423" s="41">
        <f t="shared" si="6"/>
        <v>422</v>
      </c>
      <c r="B423" s="41" t="s">
        <v>163</v>
      </c>
      <c r="C423" s="41" t="s">
        <v>708</v>
      </c>
      <c r="D423" s="42" t="s">
        <v>735</v>
      </c>
      <c r="E423" s="43" t="s">
        <v>166</v>
      </c>
      <c r="F423" s="41" t="s">
        <v>176</v>
      </c>
      <c r="G423" s="41" t="s">
        <v>680</v>
      </c>
      <c r="H423" s="41" t="s">
        <v>169</v>
      </c>
      <c r="I423" s="44">
        <v>104581</v>
      </c>
      <c r="J423" s="45">
        <v>1494.0142857142857</v>
      </c>
      <c r="K423" s="100">
        <v>0.9</v>
      </c>
      <c r="L423" s="56">
        <v>70</v>
      </c>
      <c r="M423" s="106">
        <v>57</v>
      </c>
      <c r="N423" s="103"/>
      <c r="O423" s="37">
        <v>45888</v>
      </c>
      <c r="P423" s="41"/>
      <c r="Q423" s="41" t="s">
        <v>978</v>
      </c>
      <c r="R423" s="41"/>
      <c r="S423" s="41"/>
      <c r="T423" s="107">
        <v>24000</v>
      </c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0"/>
    </row>
    <row r="424" spans="1:31" hidden="1" x14ac:dyDescent="0.25">
      <c r="A424" s="41">
        <f t="shared" si="6"/>
        <v>423</v>
      </c>
      <c r="B424" s="41" t="s">
        <v>163</v>
      </c>
      <c r="C424" s="41" t="s">
        <v>708</v>
      </c>
      <c r="D424" s="42" t="s">
        <v>736</v>
      </c>
      <c r="E424" s="43" t="s">
        <v>166</v>
      </c>
      <c r="F424" s="41" t="s">
        <v>215</v>
      </c>
      <c r="G424" s="41" t="s">
        <v>712</v>
      </c>
      <c r="H424" s="41" t="s">
        <v>248</v>
      </c>
      <c r="I424" s="44">
        <v>157772</v>
      </c>
      <c r="J424" s="45">
        <v>2253.8857142857141</v>
      </c>
      <c r="K424" s="100">
        <v>0.85</v>
      </c>
      <c r="L424" s="56">
        <v>70</v>
      </c>
      <c r="M424" s="106">
        <v>550</v>
      </c>
      <c r="N424" s="103"/>
      <c r="O424" s="37">
        <v>45888</v>
      </c>
      <c r="P424" s="41"/>
      <c r="Q424" s="41" t="s">
        <v>881</v>
      </c>
      <c r="R424" s="41"/>
      <c r="S424" s="41"/>
      <c r="T424" s="107">
        <v>24000</v>
      </c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0"/>
    </row>
    <row r="425" spans="1:31" hidden="1" x14ac:dyDescent="0.25">
      <c r="A425" s="41">
        <f t="shared" si="6"/>
        <v>424</v>
      </c>
      <c r="B425" s="41" t="s">
        <v>163</v>
      </c>
      <c r="C425" s="41" t="s">
        <v>708</v>
      </c>
      <c r="D425" s="42" t="s">
        <v>737</v>
      </c>
      <c r="E425" s="43" t="s">
        <v>166</v>
      </c>
      <c r="F425" s="41" t="s">
        <v>198</v>
      </c>
      <c r="G425" s="41" t="s">
        <v>224</v>
      </c>
      <c r="H425" s="41" t="s">
        <v>169</v>
      </c>
      <c r="I425" s="44">
        <v>484278</v>
      </c>
      <c r="J425" s="41">
        <v>6918.2571428571428</v>
      </c>
      <c r="K425" s="100">
        <v>0.15</v>
      </c>
      <c r="L425" s="56">
        <v>70</v>
      </c>
      <c r="M425" s="115">
        <v>5569</v>
      </c>
      <c r="N425" s="103"/>
      <c r="O425" s="37">
        <v>45888</v>
      </c>
      <c r="P425" s="41"/>
      <c r="Q425" s="41"/>
      <c r="R425" s="41"/>
      <c r="S425" s="41"/>
      <c r="T425" s="102" t="s">
        <v>972</v>
      </c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0"/>
    </row>
    <row r="426" spans="1:31" x14ac:dyDescent="0.25">
      <c r="A426" s="41">
        <f t="shared" si="6"/>
        <v>425</v>
      </c>
      <c r="B426" s="41" t="s">
        <v>163</v>
      </c>
      <c r="C426" s="41" t="s">
        <v>708</v>
      </c>
      <c r="D426" s="42" t="s">
        <v>738</v>
      </c>
      <c r="E426" s="43" t="s">
        <v>166</v>
      </c>
      <c r="F426" s="41" t="s">
        <v>167</v>
      </c>
      <c r="G426" s="41" t="s">
        <v>328</v>
      </c>
      <c r="H426" s="41" t="s">
        <v>169</v>
      </c>
      <c r="I426" s="44">
        <v>144710</v>
      </c>
      <c r="J426" s="41">
        <v>2067.2857142857142</v>
      </c>
      <c r="K426" s="100">
        <v>0.1</v>
      </c>
      <c r="L426" s="56">
        <v>70</v>
      </c>
      <c r="M426" s="109">
        <v>0</v>
      </c>
      <c r="N426" s="103"/>
      <c r="O426" s="37">
        <v>45888</v>
      </c>
      <c r="P426" s="41"/>
      <c r="Q426" s="41"/>
      <c r="R426" s="41"/>
      <c r="S426" s="41"/>
      <c r="T426" s="102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0"/>
    </row>
    <row r="427" spans="1:31" ht="15" hidden="1" customHeight="1" x14ac:dyDescent="0.25">
      <c r="A427" s="41">
        <f t="shared" si="6"/>
        <v>426</v>
      </c>
      <c r="B427" s="41" t="s">
        <v>163</v>
      </c>
      <c r="C427" s="41" t="s">
        <v>739</v>
      </c>
      <c r="D427" s="41" t="s">
        <v>740</v>
      </c>
      <c r="E427" s="43" t="s">
        <v>166</v>
      </c>
      <c r="F427" s="43" t="s">
        <v>167</v>
      </c>
      <c r="G427" s="41" t="s">
        <v>293</v>
      </c>
      <c r="H427" s="43" t="s">
        <v>169</v>
      </c>
      <c r="I427" s="41">
        <v>34120</v>
      </c>
      <c r="J427" s="41">
        <v>425</v>
      </c>
      <c r="K427" s="100">
        <v>0.83</v>
      </c>
      <c r="L427" s="51">
        <v>80</v>
      </c>
      <c r="M427" s="106">
        <v>140</v>
      </c>
      <c r="N427" s="103"/>
      <c r="O427" s="37" t="s">
        <v>1079</v>
      </c>
      <c r="P427" s="41"/>
      <c r="Q427" s="41"/>
      <c r="R427" s="41"/>
      <c r="S427" s="41"/>
      <c r="T427" s="102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0"/>
    </row>
    <row r="428" spans="1:31" hidden="1" x14ac:dyDescent="0.25">
      <c r="A428" s="41">
        <f t="shared" si="6"/>
        <v>427</v>
      </c>
      <c r="B428" s="41" t="s">
        <v>163</v>
      </c>
      <c r="C428" s="41" t="s">
        <v>739</v>
      </c>
      <c r="D428" s="41" t="s">
        <v>741</v>
      </c>
      <c r="E428" s="43" t="s">
        <v>166</v>
      </c>
      <c r="F428" s="43" t="s">
        <v>167</v>
      </c>
      <c r="G428" s="41" t="s">
        <v>293</v>
      </c>
      <c r="H428" s="43" t="s">
        <v>169</v>
      </c>
      <c r="I428" s="41">
        <v>51886</v>
      </c>
      <c r="J428" s="41">
        <v>648</v>
      </c>
      <c r="K428" s="100">
        <v>1</v>
      </c>
      <c r="L428" s="51">
        <v>80</v>
      </c>
      <c r="M428" s="106">
        <v>170</v>
      </c>
      <c r="N428" s="103"/>
      <c r="O428" s="37" t="s">
        <v>1079</v>
      </c>
      <c r="P428" s="41"/>
      <c r="Q428" s="41"/>
      <c r="R428" s="41"/>
      <c r="S428" s="41"/>
      <c r="T428" s="102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0"/>
    </row>
    <row r="429" spans="1:31" hidden="1" x14ac:dyDescent="0.25">
      <c r="A429" s="41">
        <f t="shared" si="6"/>
        <v>428</v>
      </c>
      <c r="B429" s="41" t="s">
        <v>163</v>
      </c>
      <c r="C429" s="41" t="s">
        <v>739</v>
      </c>
      <c r="D429" s="41" t="s">
        <v>742</v>
      </c>
      <c r="E429" s="43" t="s">
        <v>166</v>
      </c>
      <c r="F429" s="43" t="s">
        <v>167</v>
      </c>
      <c r="G429" s="41" t="s">
        <v>293</v>
      </c>
      <c r="H429" s="43" t="s">
        <v>169</v>
      </c>
      <c r="I429" s="41">
        <v>55884</v>
      </c>
      <c r="J429" s="41">
        <v>700</v>
      </c>
      <c r="K429" s="100" t="s">
        <v>607</v>
      </c>
      <c r="L429" s="51">
        <v>80</v>
      </c>
      <c r="M429" s="106">
        <v>233</v>
      </c>
      <c r="N429" s="103"/>
      <c r="O429" s="37" t="s">
        <v>1079</v>
      </c>
      <c r="P429" s="41"/>
      <c r="Q429" s="41"/>
      <c r="R429" s="41"/>
      <c r="S429" s="41"/>
      <c r="T429" s="102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0"/>
    </row>
    <row r="430" spans="1:31" hidden="1" x14ac:dyDescent="0.25">
      <c r="A430" s="41">
        <f t="shared" si="6"/>
        <v>429</v>
      </c>
      <c r="B430" s="41" t="s">
        <v>163</v>
      </c>
      <c r="C430" s="41" t="s">
        <v>739</v>
      </c>
      <c r="D430" s="41" t="s">
        <v>743</v>
      </c>
      <c r="E430" s="43" t="s">
        <v>166</v>
      </c>
      <c r="F430" s="43" t="s">
        <v>181</v>
      </c>
      <c r="G430" s="41" t="s">
        <v>220</v>
      </c>
      <c r="H430" s="43" t="s">
        <v>169</v>
      </c>
      <c r="I430" s="41">
        <v>31091</v>
      </c>
      <c r="J430" s="45">
        <v>390</v>
      </c>
      <c r="K430" s="100">
        <v>1</v>
      </c>
      <c r="L430" s="51">
        <v>80</v>
      </c>
      <c r="M430" s="106">
        <v>190</v>
      </c>
      <c r="N430" s="103"/>
      <c r="O430" s="37" t="s">
        <v>1079</v>
      </c>
      <c r="P430" s="41"/>
      <c r="Q430" s="41"/>
      <c r="R430" s="41"/>
      <c r="S430" s="41"/>
      <c r="T430" s="102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0"/>
    </row>
    <row r="431" spans="1:31" hidden="1" x14ac:dyDescent="0.25">
      <c r="A431" s="41">
        <f t="shared" si="6"/>
        <v>430</v>
      </c>
      <c r="B431" s="41" t="s">
        <v>163</v>
      </c>
      <c r="C431" s="41" t="s">
        <v>739</v>
      </c>
      <c r="D431" s="41" t="s">
        <v>744</v>
      </c>
      <c r="E431" s="43" t="s">
        <v>166</v>
      </c>
      <c r="F431" s="43" t="s">
        <v>167</v>
      </c>
      <c r="G431" s="41" t="s">
        <v>328</v>
      </c>
      <c r="H431" s="43" t="s">
        <v>169</v>
      </c>
      <c r="I431" s="41">
        <v>23000</v>
      </c>
      <c r="J431" s="41">
        <v>295</v>
      </c>
      <c r="K431" s="100">
        <v>0.77</v>
      </c>
      <c r="L431" s="51">
        <v>80</v>
      </c>
      <c r="M431" s="106">
        <v>96</v>
      </c>
      <c r="N431" s="103"/>
      <c r="O431" s="37" t="s">
        <v>1079</v>
      </c>
      <c r="P431" s="41"/>
      <c r="Q431" s="41"/>
      <c r="R431" s="41"/>
      <c r="S431" s="41"/>
      <c r="T431" s="102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0"/>
    </row>
    <row r="432" spans="1:31" x14ac:dyDescent="0.25">
      <c r="A432" s="41">
        <f t="shared" si="6"/>
        <v>431</v>
      </c>
      <c r="B432" s="41" t="s">
        <v>163</v>
      </c>
      <c r="C432" s="41" t="s">
        <v>739</v>
      </c>
      <c r="D432" s="41" t="s">
        <v>745</v>
      </c>
      <c r="E432" s="43" t="s">
        <v>166</v>
      </c>
      <c r="F432" s="43" t="s">
        <v>176</v>
      </c>
      <c r="G432" s="41" t="s">
        <v>729</v>
      </c>
      <c r="H432" s="43" t="s">
        <v>169</v>
      </c>
      <c r="I432" s="41">
        <v>20800</v>
      </c>
      <c r="J432" s="41">
        <v>250</v>
      </c>
      <c r="K432" s="100">
        <v>1</v>
      </c>
      <c r="L432" s="51">
        <v>80</v>
      </c>
      <c r="M432" s="109">
        <v>0</v>
      </c>
      <c r="N432" s="103"/>
      <c r="O432" s="37" t="s">
        <v>1079</v>
      </c>
      <c r="P432" s="41"/>
      <c r="Q432" s="41"/>
      <c r="R432" s="41"/>
      <c r="S432" s="41"/>
      <c r="T432" s="102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0"/>
    </row>
    <row r="433" spans="1:31" hidden="1" x14ac:dyDescent="0.25">
      <c r="A433" s="41">
        <f t="shared" si="6"/>
        <v>432</v>
      </c>
      <c r="B433" s="41" t="s">
        <v>163</v>
      </c>
      <c r="C433" s="41" t="s">
        <v>739</v>
      </c>
      <c r="D433" s="41" t="s">
        <v>669</v>
      </c>
      <c r="E433" s="43" t="s">
        <v>166</v>
      </c>
      <c r="F433" s="43" t="s">
        <v>198</v>
      </c>
      <c r="G433" s="41" t="s">
        <v>523</v>
      </c>
      <c r="H433" s="43" t="s">
        <v>169</v>
      </c>
      <c r="I433" s="41">
        <v>39566</v>
      </c>
      <c r="J433" s="41">
        <v>490</v>
      </c>
      <c r="K433" s="100">
        <v>0.75</v>
      </c>
      <c r="L433" s="51">
        <v>80</v>
      </c>
      <c r="M433" s="106">
        <v>171</v>
      </c>
      <c r="N433" s="103"/>
      <c r="O433" s="37" t="s">
        <v>1079</v>
      </c>
      <c r="P433" s="41"/>
      <c r="Q433" s="41"/>
      <c r="R433" s="41"/>
      <c r="S433" s="41"/>
      <c r="T433" s="102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0"/>
    </row>
    <row r="434" spans="1:31" hidden="1" x14ac:dyDescent="0.25">
      <c r="A434" s="41">
        <f t="shared" si="6"/>
        <v>433</v>
      </c>
      <c r="B434" s="41" t="s">
        <v>163</v>
      </c>
      <c r="C434" s="41" t="s">
        <v>739</v>
      </c>
      <c r="D434" s="41" t="s">
        <v>709</v>
      </c>
      <c r="E434" s="43" t="s">
        <v>166</v>
      </c>
      <c r="F434" s="43" t="s">
        <v>176</v>
      </c>
      <c r="G434" s="41" t="s">
        <v>710</v>
      </c>
      <c r="H434" s="43" t="s">
        <v>169</v>
      </c>
      <c r="I434" s="41">
        <v>19575</v>
      </c>
      <c r="J434" s="41">
        <v>245</v>
      </c>
      <c r="K434" s="100">
        <v>1</v>
      </c>
      <c r="L434" s="51">
        <v>80</v>
      </c>
      <c r="M434" s="106">
        <v>37</v>
      </c>
      <c r="N434" s="103"/>
      <c r="O434" s="37" t="s">
        <v>1079</v>
      </c>
      <c r="P434" s="41"/>
      <c r="Q434" s="41"/>
      <c r="R434" s="41"/>
      <c r="S434" s="41"/>
      <c r="T434" s="102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0"/>
    </row>
    <row r="435" spans="1:31" x14ac:dyDescent="0.25">
      <c r="A435" s="41">
        <f t="shared" si="6"/>
        <v>434</v>
      </c>
      <c r="B435" s="41" t="s">
        <v>163</v>
      </c>
      <c r="C435" s="41" t="s">
        <v>739</v>
      </c>
      <c r="D435" s="41" t="s">
        <v>746</v>
      </c>
      <c r="E435" s="43" t="s">
        <v>166</v>
      </c>
      <c r="F435" s="43" t="s">
        <v>176</v>
      </c>
      <c r="G435" s="41" t="s">
        <v>747</v>
      </c>
      <c r="H435" s="43" t="s">
        <v>169</v>
      </c>
      <c r="I435" s="41">
        <v>28998</v>
      </c>
      <c r="J435" s="41">
        <v>360</v>
      </c>
      <c r="K435" s="100">
        <v>0.75</v>
      </c>
      <c r="L435" s="51">
        <v>80</v>
      </c>
      <c r="M435" s="109">
        <v>0</v>
      </c>
      <c r="N435" s="103"/>
      <c r="O435" s="37" t="s">
        <v>1079</v>
      </c>
      <c r="P435" s="41"/>
      <c r="Q435" s="41"/>
      <c r="R435" s="41"/>
      <c r="S435" s="41"/>
      <c r="T435" s="102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0"/>
    </row>
    <row r="436" spans="1:31" x14ac:dyDescent="0.25">
      <c r="A436" s="41">
        <f t="shared" si="6"/>
        <v>435</v>
      </c>
      <c r="B436" s="41" t="s">
        <v>163</v>
      </c>
      <c r="C436" s="41" t="s">
        <v>739</v>
      </c>
      <c r="D436" s="41" t="s">
        <v>748</v>
      </c>
      <c r="E436" s="43" t="s">
        <v>166</v>
      </c>
      <c r="F436" s="43" t="s">
        <v>176</v>
      </c>
      <c r="G436" s="41" t="s">
        <v>747</v>
      </c>
      <c r="H436" s="43" t="s">
        <v>248</v>
      </c>
      <c r="I436" s="41">
        <v>14494</v>
      </c>
      <c r="J436" s="41">
        <v>180</v>
      </c>
      <c r="K436" s="100">
        <v>1</v>
      </c>
      <c r="L436" s="51">
        <v>80</v>
      </c>
      <c r="M436" s="109">
        <v>0</v>
      </c>
      <c r="N436" s="103"/>
      <c r="O436" s="37" t="s">
        <v>1079</v>
      </c>
      <c r="P436" s="41"/>
      <c r="Q436" s="41"/>
      <c r="R436" s="41"/>
      <c r="S436" s="41"/>
      <c r="T436" s="102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0"/>
    </row>
    <row r="437" spans="1:31" x14ac:dyDescent="0.25">
      <c r="A437" s="41">
        <f t="shared" si="6"/>
        <v>436</v>
      </c>
      <c r="B437" s="41" t="s">
        <v>163</v>
      </c>
      <c r="C437" s="41" t="s">
        <v>739</v>
      </c>
      <c r="D437" s="41" t="s">
        <v>749</v>
      </c>
      <c r="E437" s="43" t="s">
        <v>166</v>
      </c>
      <c r="F437" s="43" t="s">
        <v>176</v>
      </c>
      <c r="G437" s="41" t="s">
        <v>680</v>
      </c>
      <c r="H437" s="43" t="s">
        <v>169</v>
      </c>
      <c r="I437" s="41">
        <v>12761</v>
      </c>
      <c r="J437" s="41">
        <v>160</v>
      </c>
      <c r="K437" s="100" t="s">
        <v>607</v>
      </c>
      <c r="L437" s="51">
        <v>80</v>
      </c>
      <c r="M437" s="109">
        <v>0</v>
      </c>
      <c r="N437" s="103"/>
      <c r="O437" s="37" t="s">
        <v>1079</v>
      </c>
      <c r="P437" s="41"/>
      <c r="Q437" s="41"/>
      <c r="R437" s="41"/>
      <c r="S437" s="41"/>
      <c r="T437" s="102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0"/>
    </row>
    <row r="438" spans="1:31" x14ac:dyDescent="0.25">
      <c r="A438" s="41">
        <f t="shared" si="6"/>
        <v>437</v>
      </c>
      <c r="B438" s="41" t="s">
        <v>163</v>
      </c>
      <c r="C438" s="41" t="s">
        <v>739</v>
      </c>
      <c r="D438" s="41" t="s">
        <v>750</v>
      </c>
      <c r="E438" s="43" t="s">
        <v>166</v>
      </c>
      <c r="F438" s="43" t="s">
        <v>176</v>
      </c>
      <c r="G438" s="41" t="s">
        <v>680</v>
      </c>
      <c r="H438" s="43" t="s">
        <v>169</v>
      </c>
      <c r="I438" s="41">
        <v>11502</v>
      </c>
      <c r="J438" s="41">
        <v>145</v>
      </c>
      <c r="K438" s="100">
        <v>1</v>
      </c>
      <c r="L438" s="51">
        <v>80</v>
      </c>
      <c r="M438" s="109">
        <v>0</v>
      </c>
      <c r="N438" s="103"/>
      <c r="O438" s="37" t="s">
        <v>1079</v>
      </c>
      <c r="P438" s="41"/>
      <c r="Q438" s="41"/>
      <c r="R438" s="41"/>
      <c r="S438" s="41"/>
      <c r="T438" s="102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0"/>
    </row>
    <row r="439" spans="1:31" x14ac:dyDescent="0.25">
      <c r="A439" s="41">
        <f t="shared" si="6"/>
        <v>438</v>
      </c>
      <c r="B439" s="41" t="s">
        <v>163</v>
      </c>
      <c r="C439" s="41" t="s">
        <v>739</v>
      </c>
      <c r="D439" s="41" t="s">
        <v>751</v>
      </c>
      <c r="E439" s="43" t="s">
        <v>166</v>
      </c>
      <c r="F439" s="43" t="s">
        <v>176</v>
      </c>
      <c r="G439" s="41" t="s">
        <v>680</v>
      </c>
      <c r="H439" s="43" t="s">
        <v>169</v>
      </c>
      <c r="I439" s="41">
        <v>17559</v>
      </c>
      <c r="J439" s="41">
        <v>220</v>
      </c>
      <c r="K439" s="100">
        <v>1</v>
      </c>
      <c r="L439" s="51">
        <v>80</v>
      </c>
      <c r="M439" s="109">
        <v>0</v>
      </c>
      <c r="N439" s="103"/>
      <c r="O439" s="37" t="s">
        <v>1079</v>
      </c>
      <c r="P439" s="41"/>
      <c r="Q439" s="41"/>
      <c r="R439" s="41"/>
      <c r="S439" s="41"/>
      <c r="T439" s="102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0"/>
    </row>
    <row r="440" spans="1:31" x14ac:dyDescent="0.25">
      <c r="A440" s="41">
        <f t="shared" si="6"/>
        <v>439</v>
      </c>
      <c r="B440" s="41" t="s">
        <v>163</v>
      </c>
      <c r="C440" s="41" t="s">
        <v>739</v>
      </c>
      <c r="D440" s="41" t="s">
        <v>752</v>
      </c>
      <c r="E440" s="43" t="s">
        <v>166</v>
      </c>
      <c r="F440" s="43" t="s">
        <v>215</v>
      </c>
      <c r="G440" s="41" t="s">
        <v>422</v>
      </c>
      <c r="H440" s="43" t="s">
        <v>248</v>
      </c>
      <c r="I440" s="41">
        <v>7900</v>
      </c>
      <c r="J440" s="45">
        <v>100</v>
      </c>
      <c r="K440" s="100">
        <v>1</v>
      </c>
      <c r="L440" s="51">
        <v>80</v>
      </c>
      <c r="M440" s="109">
        <v>0</v>
      </c>
      <c r="N440" s="103"/>
      <c r="O440" s="37" t="s">
        <v>1079</v>
      </c>
      <c r="P440" s="41"/>
      <c r="Q440" s="41"/>
      <c r="R440" s="41"/>
      <c r="S440" s="41"/>
      <c r="T440" s="102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0"/>
    </row>
    <row r="441" spans="1:31" x14ac:dyDescent="0.25">
      <c r="A441" s="41">
        <f t="shared" si="6"/>
        <v>440</v>
      </c>
      <c r="B441" s="41" t="s">
        <v>163</v>
      </c>
      <c r="C441" s="41" t="s">
        <v>739</v>
      </c>
      <c r="D441" s="41" t="s">
        <v>753</v>
      </c>
      <c r="E441" s="43" t="s">
        <v>166</v>
      </c>
      <c r="F441" s="43" t="s">
        <v>198</v>
      </c>
      <c r="G441" s="41" t="s">
        <v>272</v>
      </c>
      <c r="H441" s="43" t="s">
        <v>248</v>
      </c>
      <c r="I441" s="41">
        <v>28000</v>
      </c>
      <c r="J441" s="41">
        <v>300</v>
      </c>
      <c r="K441" s="100">
        <v>1</v>
      </c>
      <c r="L441" s="51">
        <v>80</v>
      </c>
      <c r="M441" s="109">
        <v>0</v>
      </c>
      <c r="N441" s="103"/>
      <c r="O441" s="37" t="s">
        <v>1079</v>
      </c>
      <c r="P441" s="41"/>
      <c r="Q441" s="41"/>
      <c r="R441" s="41"/>
      <c r="S441" s="41"/>
      <c r="T441" s="102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0"/>
    </row>
    <row r="442" spans="1:31" hidden="1" x14ac:dyDescent="0.25">
      <c r="A442" s="41">
        <f t="shared" si="6"/>
        <v>441</v>
      </c>
      <c r="B442" s="41" t="s">
        <v>163</v>
      </c>
      <c r="C442" s="41" t="s">
        <v>754</v>
      </c>
      <c r="D442" s="42" t="s">
        <v>586</v>
      </c>
      <c r="E442" s="43" t="s">
        <v>166</v>
      </c>
      <c r="F442" s="43" t="s">
        <v>167</v>
      </c>
      <c r="G442" s="41" t="s">
        <v>168</v>
      </c>
      <c r="H442" s="41" t="s">
        <v>755</v>
      </c>
      <c r="I442" s="44">
        <v>40000</v>
      </c>
      <c r="J442" s="41">
        <v>800</v>
      </c>
      <c r="K442" s="100">
        <v>0.1875</v>
      </c>
      <c r="L442" s="53">
        <v>50</v>
      </c>
      <c r="M442" s="41"/>
      <c r="N442" s="103"/>
      <c r="O442" s="37"/>
      <c r="P442" s="41"/>
      <c r="Q442" s="41"/>
      <c r="R442" s="41"/>
      <c r="S442" s="41"/>
      <c r="T442" s="102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0"/>
    </row>
    <row r="443" spans="1:31" hidden="1" x14ac:dyDescent="0.25">
      <c r="A443" s="41">
        <f t="shared" si="6"/>
        <v>442</v>
      </c>
      <c r="B443" s="41" t="s">
        <v>163</v>
      </c>
      <c r="C443" s="41" t="s">
        <v>754</v>
      </c>
      <c r="D443" s="42" t="s">
        <v>756</v>
      </c>
      <c r="E443" s="43" t="s">
        <v>166</v>
      </c>
      <c r="F443" s="43" t="s">
        <v>198</v>
      </c>
      <c r="G443" s="41" t="s">
        <v>272</v>
      </c>
      <c r="H443" s="41" t="s">
        <v>169</v>
      </c>
      <c r="I443" s="44">
        <v>50000</v>
      </c>
      <c r="J443" s="41">
        <v>970</v>
      </c>
      <c r="K443" s="100">
        <v>0.58762886597938147</v>
      </c>
      <c r="L443" s="53">
        <v>50</v>
      </c>
      <c r="M443" s="41"/>
      <c r="N443" s="103"/>
      <c r="O443" s="37"/>
      <c r="P443" s="41"/>
      <c r="Q443" s="41"/>
      <c r="R443" s="41"/>
      <c r="S443" s="41"/>
      <c r="T443" s="102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0"/>
    </row>
    <row r="444" spans="1:31" hidden="1" x14ac:dyDescent="0.25">
      <c r="A444" s="41">
        <f t="shared" si="6"/>
        <v>443</v>
      </c>
      <c r="B444" s="41" t="s">
        <v>163</v>
      </c>
      <c r="C444" s="41" t="s">
        <v>757</v>
      </c>
      <c r="D444" s="42" t="s">
        <v>758</v>
      </c>
      <c r="E444" s="43" t="s">
        <v>171</v>
      </c>
      <c r="F444" s="43" t="s">
        <v>181</v>
      </c>
      <c r="G444" s="41" t="s">
        <v>184</v>
      </c>
      <c r="H444" s="41" t="s">
        <v>169</v>
      </c>
      <c r="I444" s="44">
        <v>18000</v>
      </c>
      <c r="J444" s="45">
        <v>300</v>
      </c>
      <c r="K444" s="100">
        <v>0</v>
      </c>
      <c r="L444" s="51"/>
      <c r="M444" s="41"/>
      <c r="N444" s="103"/>
      <c r="O444" s="37"/>
      <c r="P444" s="41"/>
      <c r="Q444" s="41"/>
      <c r="R444" s="41"/>
      <c r="S444" s="41"/>
      <c r="T444" s="102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0"/>
    </row>
    <row r="445" spans="1:31" hidden="1" x14ac:dyDescent="0.25">
      <c r="A445" s="41">
        <f t="shared" si="6"/>
        <v>444</v>
      </c>
      <c r="B445" s="41" t="s">
        <v>163</v>
      </c>
      <c r="C445" s="41" t="s">
        <v>759</v>
      </c>
      <c r="D445" s="42" t="s">
        <v>760</v>
      </c>
      <c r="E445" s="43" t="s">
        <v>166</v>
      </c>
      <c r="F445" s="41" t="s">
        <v>181</v>
      </c>
      <c r="G445" s="41" t="s">
        <v>184</v>
      </c>
      <c r="H445" s="41" t="s">
        <v>248</v>
      </c>
      <c r="I445" s="44">
        <v>6000</v>
      </c>
      <c r="J445" s="45">
        <v>160</v>
      </c>
      <c r="K445" s="100">
        <v>1</v>
      </c>
      <c r="L445" s="51">
        <v>50</v>
      </c>
      <c r="M445" s="41"/>
      <c r="N445" s="103"/>
      <c r="O445" s="37"/>
      <c r="P445" s="41"/>
      <c r="Q445" s="41"/>
      <c r="R445" s="41"/>
      <c r="S445" s="41"/>
      <c r="T445" s="102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0"/>
    </row>
    <row r="446" spans="1:31" hidden="1" x14ac:dyDescent="0.25">
      <c r="A446" s="41">
        <f t="shared" si="6"/>
        <v>445</v>
      </c>
      <c r="B446" s="41" t="s">
        <v>163</v>
      </c>
      <c r="C446" s="41" t="s">
        <v>759</v>
      </c>
      <c r="D446" s="42" t="s">
        <v>944</v>
      </c>
      <c r="E446" s="43" t="s">
        <v>166</v>
      </c>
      <c r="F446" s="41" t="s">
        <v>172</v>
      </c>
      <c r="G446" s="41" t="s">
        <v>945</v>
      </c>
      <c r="H446" s="41" t="s">
        <v>248</v>
      </c>
      <c r="I446" s="44">
        <v>32000</v>
      </c>
      <c r="J446" s="41">
        <v>720</v>
      </c>
      <c r="K446" s="100">
        <v>0.8</v>
      </c>
      <c r="L446" s="51">
        <v>50</v>
      </c>
      <c r="M446" s="106">
        <v>170</v>
      </c>
      <c r="N446" s="103"/>
      <c r="O446" s="37">
        <v>45882</v>
      </c>
      <c r="P446" s="41"/>
      <c r="Q446" s="41"/>
      <c r="R446" s="41"/>
      <c r="S446" s="41"/>
      <c r="T446" s="107">
        <v>7000</v>
      </c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0"/>
    </row>
    <row r="447" spans="1:31" hidden="1" x14ac:dyDescent="0.25">
      <c r="A447" s="41">
        <f t="shared" si="6"/>
        <v>446</v>
      </c>
      <c r="B447" s="41" t="s">
        <v>163</v>
      </c>
      <c r="C447" s="41" t="s">
        <v>759</v>
      </c>
      <c r="D447" s="42" t="s">
        <v>761</v>
      </c>
      <c r="E447" s="43" t="s">
        <v>166</v>
      </c>
      <c r="F447" s="41" t="s">
        <v>172</v>
      </c>
      <c r="G447" s="41" t="s">
        <v>705</v>
      </c>
      <c r="H447" s="41" t="s">
        <v>248</v>
      </c>
      <c r="I447" s="44">
        <v>15200</v>
      </c>
      <c r="J447" s="41">
        <v>400</v>
      </c>
      <c r="K447" s="100">
        <v>1</v>
      </c>
      <c r="L447" s="51">
        <v>50</v>
      </c>
      <c r="M447" s="41"/>
      <c r="N447" s="103"/>
      <c r="O447" s="37"/>
      <c r="P447" s="41"/>
      <c r="Q447" s="41"/>
      <c r="R447" s="41"/>
      <c r="S447" s="41"/>
      <c r="T447" s="102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0"/>
    </row>
    <row r="448" spans="1:31" hidden="1" x14ac:dyDescent="0.25">
      <c r="A448" s="41">
        <f t="shared" si="6"/>
        <v>447</v>
      </c>
      <c r="B448" s="41" t="s">
        <v>163</v>
      </c>
      <c r="C448" s="41" t="s">
        <v>982</v>
      </c>
      <c r="D448" s="42" t="s">
        <v>761</v>
      </c>
      <c r="E448" s="43" t="s">
        <v>166</v>
      </c>
      <c r="F448" s="41" t="s">
        <v>181</v>
      </c>
      <c r="G448" s="41" t="s">
        <v>184</v>
      </c>
      <c r="H448" s="41" t="s">
        <v>248</v>
      </c>
      <c r="I448" s="44">
        <v>4000</v>
      </c>
      <c r="J448" s="45">
        <v>127</v>
      </c>
      <c r="K448" s="100">
        <v>0.85</v>
      </c>
      <c r="L448" s="51">
        <v>50</v>
      </c>
      <c r="M448" s="106">
        <v>127</v>
      </c>
      <c r="N448" s="103"/>
      <c r="O448" s="37">
        <v>45882</v>
      </c>
      <c r="P448" s="41"/>
      <c r="Q448" s="41" t="s">
        <v>879</v>
      </c>
      <c r="R448" s="41"/>
      <c r="S448" s="41"/>
      <c r="T448" s="107">
        <v>10000</v>
      </c>
      <c r="U448" s="41" t="s">
        <v>983</v>
      </c>
      <c r="V448" s="41" t="s">
        <v>984</v>
      </c>
      <c r="W448" s="41" t="s">
        <v>985</v>
      </c>
      <c r="X448" s="41" t="s">
        <v>987</v>
      </c>
      <c r="Y448" s="41" t="s">
        <v>988</v>
      </c>
      <c r="Z448" s="41" t="s">
        <v>990</v>
      </c>
      <c r="AA448" s="41"/>
      <c r="AB448" s="41"/>
      <c r="AC448" s="41"/>
      <c r="AD448" s="41"/>
      <c r="AE448" s="40"/>
    </row>
    <row r="449" spans="1:31" hidden="1" x14ac:dyDescent="0.25">
      <c r="A449" s="41">
        <f t="shared" si="6"/>
        <v>448</v>
      </c>
      <c r="B449" s="41" t="s">
        <v>163</v>
      </c>
      <c r="C449" s="41" t="s">
        <v>759</v>
      </c>
      <c r="D449" s="42" t="s">
        <v>761</v>
      </c>
      <c r="E449" s="43" t="s">
        <v>166</v>
      </c>
      <c r="F449" s="41" t="s">
        <v>172</v>
      </c>
      <c r="G449" s="41" t="s">
        <v>705</v>
      </c>
      <c r="H449" s="41" t="s">
        <v>248</v>
      </c>
      <c r="I449" s="44">
        <v>13200</v>
      </c>
      <c r="J449" s="41">
        <v>398</v>
      </c>
      <c r="K449" s="100">
        <v>1</v>
      </c>
      <c r="L449" s="51">
        <v>50</v>
      </c>
      <c r="M449" s="40"/>
      <c r="N449" s="103"/>
      <c r="O449" s="37"/>
      <c r="P449" s="41"/>
      <c r="Q449" s="41"/>
      <c r="R449" s="41"/>
      <c r="S449" s="41"/>
      <c r="T449" s="102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0"/>
    </row>
    <row r="450" spans="1:31" hidden="1" x14ac:dyDescent="0.25">
      <c r="A450" s="41">
        <f t="shared" si="6"/>
        <v>449</v>
      </c>
      <c r="B450" s="41" t="s">
        <v>163</v>
      </c>
      <c r="C450" s="41" t="s">
        <v>759</v>
      </c>
      <c r="D450" s="42" t="s">
        <v>761</v>
      </c>
      <c r="E450" s="43" t="s">
        <v>166</v>
      </c>
      <c r="F450" s="41" t="s">
        <v>181</v>
      </c>
      <c r="G450" s="41" t="s">
        <v>184</v>
      </c>
      <c r="H450" s="41" t="s">
        <v>248</v>
      </c>
      <c r="I450" s="44">
        <v>24000</v>
      </c>
      <c r="J450" s="41">
        <v>510</v>
      </c>
      <c r="K450" s="100">
        <v>1</v>
      </c>
      <c r="L450" s="51">
        <v>50</v>
      </c>
      <c r="M450" s="41"/>
      <c r="N450" s="103"/>
      <c r="O450" s="37"/>
      <c r="P450" s="41"/>
      <c r="Q450" s="41"/>
      <c r="R450" s="41"/>
      <c r="S450" s="41"/>
      <c r="T450" s="102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0"/>
    </row>
    <row r="451" spans="1:31" hidden="1" x14ac:dyDescent="0.25">
      <c r="A451" s="41">
        <f t="shared" si="6"/>
        <v>450</v>
      </c>
      <c r="B451" s="41" t="s">
        <v>163</v>
      </c>
      <c r="C451" s="41" t="s">
        <v>762</v>
      </c>
      <c r="D451" s="41" t="s">
        <v>762</v>
      </c>
      <c r="E451" s="43" t="s">
        <v>166</v>
      </c>
      <c r="F451" s="43" t="s">
        <v>215</v>
      </c>
      <c r="G451" s="41" t="s">
        <v>763</v>
      </c>
      <c r="H451" s="41"/>
      <c r="I451" s="41">
        <v>30000</v>
      </c>
      <c r="J451" s="41">
        <v>600</v>
      </c>
      <c r="K451" s="100">
        <v>1</v>
      </c>
      <c r="L451" s="51"/>
      <c r="M451" s="41"/>
      <c r="N451" s="103"/>
      <c r="O451" s="37"/>
      <c r="P451" s="41"/>
      <c r="Q451" s="41"/>
      <c r="R451" s="41"/>
      <c r="S451" s="41"/>
      <c r="T451" s="102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0"/>
    </row>
    <row r="452" spans="1:31" hidden="1" x14ac:dyDescent="0.25">
      <c r="A452" s="41">
        <f t="shared" ref="A452:A515" si="7">A451+1</f>
        <v>451</v>
      </c>
      <c r="B452" s="41" t="s">
        <v>163</v>
      </c>
      <c r="C452" s="41" t="s">
        <v>764</v>
      </c>
      <c r="D452" s="42"/>
      <c r="E452" s="43"/>
      <c r="F452" s="43"/>
      <c r="G452" s="41"/>
      <c r="H452" s="41"/>
      <c r="I452" s="44"/>
      <c r="J452" s="41"/>
      <c r="K452" s="100"/>
      <c r="L452" s="51"/>
      <c r="M452" s="41"/>
      <c r="N452" s="103"/>
      <c r="O452" s="37"/>
      <c r="P452" s="41"/>
      <c r="Q452" s="41"/>
      <c r="R452" s="41"/>
      <c r="S452" s="41"/>
      <c r="T452" s="102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0"/>
    </row>
    <row r="453" spans="1:31" ht="14.45" hidden="1" customHeight="1" x14ac:dyDescent="0.25">
      <c r="A453" s="41">
        <f t="shared" si="7"/>
        <v>452</v>
      </c>
      <c r="B453" s="41" t="s">
        <v>163</v>
      </c>
      <c r="C453" s="41" t="s">
        <v>765</v>
      </c>
      <c r="D453" s="41" t="s">
        <v>766</v>
      </c>
      <c r="E453" s="43"/>
      <c r="F453" s="43" t="s">
        <v>176</v>
      </c>
      <c r="G453" s="41" t="s">
        <v>276</v>
      </c>
      <c r="H453" s="41" t="s">
        <v>169</v>
      </c>
      <c r="I453" s="41">
        <v>24500</v>
      </c>
      <c r="J453" s="41">
        <v>520</v>
      </c>
      <c r="K453" s="100">
        <v>0.65</v>
      </c>
      <c r="L453" s="51">
        <v>50</v>
      </c>
      <c r="M453" s="41"/>
      <c r="N453" s="103"/>
      <c r="O453" s="37"/>
      <c r="P453" s="41"/>
      <c r="Q453" s="41"/>
      <c r="R453" s="41"/>
      <c r="S453" s="41"/>
      <c r="T453" s="102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120" t="s">
        <v>1074</v>
      </c>
    </row>
    <row r="454" spans="1:31" hidden="1" x14ac:dyDescent="0.25">
      <c r="A454" s="41">
        <f t="shared" si="7"/>
        <v>453</v>
      </c>
      <c r="B454" s="41" t="s">
        <v>163</v>
      </c>
      <c r="C454" s="41" t="s">
        <v>765</v>
      </c>
      <c r="D454" s="41" t="s">
        <v>767</v>
      </c>
      <c r="E454" s="43"/>
      <c r="F454" s="43" t="s">
        <v>176</v>
      </c>
      <c r="G454" s="41" t="s">
        <v>768</v>
      </c>
      <c r="H454" s="41" t="s">
        <v>169</v>
      </c>
      <c r="I454" s="41">
        <v>9000</v>
      </c>
      <c r="J454" s="41">
        <v>155</v>
      </c>
      <c r="K454" s="100">
        <v>0</v>
      </c>
      <c r="L454" s="51">
        <v>50</v>
      </c>
      <c r="M454" s="41"/>
      <c r="N454" s="103"/>
      <c r="O454" s="37"/>
      <c r="P454" s="41"/>
      <c r="Q454" s="41"/>
      <c r="R454" s="41"/>
      <c r="S454" s="41"/>
      <c r="T454" s="102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0"/>
    </row>
    <row r="455" spans="1:31" hidden="1" x14ac:dyDescent="0.25">
      <c r="A455" s="41">
        <f t="shared" si="7"/>
        <v>454</v>
      </c>
      <c r="B455" s="41" t="s">
        <v>163</v>
      </c>
      <c r="C455" s="41" t="s">
        <v>765</v>
      </c>
      <c r="D455" s="41" t="s">
        <v>317</v>
      </c>
      <c r="E455" s="43"/>
      <c r="F455" s="43" t="s">
        <v>176</v>
      </c>
      <c r="G455" s="41" t="s">
        <v>276</v>
      </c>
      <c r="H455" s="41" t="s">
        <v>169</v>
      </c>
      <c r="I455" s="41">
        <v>18500</v>
      </c>
      <c r="J455" s="41">
        <v>360</v>
      </c>
      <c r="K455" s="100">
        <v>0.8</v>
      </c>
      <c r="L455" s="51">
        <v>50</v>
      </c>
      <c r="M455" s="41"/>
      <c r="N455" s="103"/>
      <c r="O455" s="37"/>
      <c r="P455" s="41"/>
      <c r="Q455" s="41"/>
      <c r="R455" s="41"/>
      <c r="S455" s="41"/>
      <c r="T455" s="102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0"/>
    </row>
    <row r="456" spans="1:31" ht="14.45" hidden="1" customHeight="1" x14ac:dyDescent="0.25">
      <c r="A456" s="41">
        <f t="shared" si="7"/>
        <v>455</v>
      </c>
      <c r="B456" s="41" t="s">
        <v>163</v>
      </c>
      <c r="C456" s="41" t="s">
        <v>769</v>
      </c>
      <c r="D456" s="42" t="s">
        <v>770</v>
      </c>
      <c r="E456" s="43" t="s">
        <v>166</v>
      </c>
      <c r="F456" s="43" t="s">
        <v>167</v>
      </c>
      <c r="G456" s="41" t="s">
        <v>168</v>
      </c>
      <c r="H456" s="41" t="s">
        <v>169</v>
      </c>
      <c r="I456" s="44">
        <v>33000</v>
      </c>
      <c r="J456" s="41">
        <v>825</v>
      </c>
      <c r="K456" s="100">
        <v>0.63636363636363635</v>
      </c>
      <c r="L456" s="51">
        <v>40</v>
      </c>
      <c r="M456" s="106">
        <v>300</v>
      </c>
      <c r="N456" s="103"/>
      <c r="O456" s="37">
        <v>45895</v>
      </c>
      <c r="P456" s="41"/>
      <c r="Q456" s="41" t="s">
        <v>981</v>
      </c>
      <c r="R456" s="41"/>
      <c r="S456" s="41"/>
      <c r="T456" s="102" t="s">
        <v>1035</v>
      </c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120" t="s">
        <v>1039</v>
      </c>
    </row>
    <row r="457" spans="1:31" hidden="1" x14ac:dyDescent="0.25">
      <c r="A457" s="41">
        <f t="shared" si="7"/>
        <v>456</v>
      </c>
      <c r="B457" s="41" t="s">
        <v>163</v>
      </c>
      <c r="C457" s="41" t="s">
        <v>769</v>
      </c>
      <c r="D457" s="42" t="s">
        <v>771</v>
      </c>
      <c r="E457" s="43" t="s">
        <v>171</v>
      </c>
      <c r="F457" s="43" t="s">
        <v>167</v>
      </c>
      <c r="G457" s="41" t="s">
        <v>272</v>
      </c>
      <c r="H457" s="41" t="s">
        <v>169</v>
      </c>
      <c r="I457" s="44">
        <v>50000</v>
      </c>
      <c r="J457" s="41">
        <v>1250</v>
      </c>
      <c r="K457" s="100">
        <v>0.98560000000000003</v>
      </c>
      <c r="L457" s="51">
        <v>40</v>
      </c>
      <c r="M457" s="106">
        <v>21</v>
      </c>
      <c r="N457" s="103"/>
      <c r="O457" s="37">
        <v>45895</v>
      </c>
      <c r="P457" s="41"/>
      <c r="Q457" s="41"/>
      <c r="R457" s="41"/>
      <c r="S457" s="41"/>
      <c r="T457" s="102" t="s">
        <v>1036</v>
      </c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0"/>
    </row>
    <row r="458" spans="1:31" x14ac:dyDescent="0.25">
      <c r="A458" s="41">
        <f t="shared" si="7"/>
        <v>457</v>
      </c>
      <c r="B458" s="41" t="s">
        <v>163</v>
      </c>
      <c r="C458" s="41" t="s">
        <v>772</v>
      </c>
      <c r="D458" s="42" t="s">
        <v>773</v>
      </c>
      <c r="E458" s="43" t="s">
        <v>166</v>
      </c>
      <c r="F458" s="43" t="s">
        <v>167</v>
      </c>
      <c r="G458" s="41" t="s">
        <v>240</v>
      </c>
      <c r="H458" s="41" t="s">
        <v>169</v>
      </c>
      <c r="I458" s="44">
        <v>18000</v>
      </c>
      <c r="J458" s="41">
        <v>400</v>
      </c>
      <c r="K458" s="100">
        <v>0.5</v>
      </c>
      <c r="L458" s="51">
        <v>50</v>
      </c>
      <c r="M458" s="109">
        <v>0</v>
      </c>
      <c r="N458" s="103"/>
      <c r="O458" s="37">
        <v>45890</v>
      </c>
      <c r="P458" s="41"/>
      <c r="Q458" s="41"/>
      <c r="R458" s="41"/>
      <c r="S458" s="41"/>
      <c r="T458" s="102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0"/>
    </row>
    <row r="459" spans="1:31" x14ac:dyDescent="0.25">
      <c r="A459" s="41">
        <f t="shared" si="7"/>
        <v>458</v>
      </c>
      <c r="B459" s="41" t="s">
        <v>163</v>
      </c>
      <c r="C459" s="41" t="s">
        <v>772</v>
      </c>
      <c r="D459" s="42" t="s">
        <v>373</v>
      </c>
      <c r="E459" s="43" t="s">
        <v>166</v>
      </c>
      <c r="F459" s="43" t="s">
        <v>198</v>
      </c>
      <c r="G459" s="41" t="s">
        <v>272</v>
      </c>
      <c r="H459" s="41" t="s">
        <v>169</v>
      </c>
      <c r="I459" s="44">
        <v>20000</v>
      </c>
      <c r="J459" s="41">
        <v>450</v>
      </c>
      <c r="K459" s="100">
        <v>0.5</v>
      </c>
      <c r="L459" s="51">
        <v>50</v>
      </c>
      <c r="M459" s="109">
        <v>0</v>
      </c>
      <c r="N459" s="103"/>
      <c r="O459" s="37">
        <v>45890</v>
      </c>
      <c r="P459" s="41"/>
      <c r="Q459" s="41"/>
      <c r="R459" s="41"/>
      <c r="S459" s="41"/>
      <c r="T459" s="102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0"/>
    </row>
    <row r="460" spans="1:31" x14ac:dyDescent="0.25">
      <c r="A460" s="41">
        <f t="shared" si="7"/>
        <v>459</v>
      </c>
      <c r="B460" s="41" t="s">
        <v>163</v>
      </c>
      <c r="C460" s="41" t="s">
        <v>772</v>
      </c>
      <c r="D460" s="42" t="s">
        <v>443</v>
      </c>
      <c r="E460" s="43" t="s">
        <v>166</v>
      </c>
      <c r="F460" s="43" t="s">
        <v>208</v>
      </c>
      <c r="G460" s="41" t="s">
        <v>209</v>
      </c>
      <c r="H460" s="41" t="s">
        <v>169</v>
      </c>
      <c r="I460" s="44">
        <v>50000</v>
      </c>
      <c r="J460" s="41">
        <v>1200</v>
      </c>
      <c r="K460" s="100">
        <v>0.9</v>
      </c>
      <c r="L460" s="51">
        <v>50</v>
      </c>
      <c r="M460" s="109">
        <v>0</v>
      </c>
      <c r="N460" s="103"/>
      <c r="O460" s="37">
        <v>45890</v>
      </c>
      <c r="P460" s="41"/>
      <c r="Q460" s="41"/>
      <c r="R460" s="41"/>
      <c r="S460" s="41"/>
      <c r="T460" s="102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0"/>
    </row>
    <row r="461" spans="1:31" hidden="1" x14ac:dyDescent="0.25">
      <c r="A461" s="41">
        <f t="shared" si="7"/>
        <v>460</v>
      </c>
      <c r="B461" s="41" t="s">
        <v>163</v>
      </c>
      <c r="C461" s="41" t="s">
        <v>772</v>
      </c>
      <c r="D461" s="42" t="s">
        <v>774</v>
      </c>
      <c r="E461" s="43" t="s">
        <v>166</v>
      </c>
      <c r="F461" s="43" t="s">
        <v>167</v>
      </c>
      <c r="G461" s="41" t="s">
        <v>328</v>
      </c>
      <c r="H461" s="41" t="s">
        <v>169</v>
      </c>
      <c r="I461" s="44">
        <v>30000</v>
      </c>
      <c r="J461" s="41">
        <v>1350</v>
      </c>
      <c r="K461" s="100">
        <v>0.75</v>
      </c>
      <c r="L461" s="51">
        <v>50</v>
      </c>
      <c r="M461" s="106">
        <v>800</v>
      </c>
      <c r="N461" s="103"/>
      <c r="O461" s="37">
        <v>45890</v>
      </c>
      <c r="P461" s="41"/>
      <c r="Q461" s="41" t="s">
        <v>1021</v>
      </c>
      <c r="R461" s="41"/>
      <c r="S461" s="41"/>
      <c r="T461" s="107">
        <v>10000</v>
      </c>
      <c r="U461" s="41"/>
      <c r="V461" s="41"/>
      <c r="W461" s="41"/>
      <c r="X461" s="41"/>
      <c r="Y461" s="41"/>
      <c r="Z461" s="41"/>
      <c r="AA461" s="41"/>
      <c r="AB461" s="41"/>
      <c r="AC461" s="41" t="s">
        <v>1017</v>
      </c>
      <c r="AD461" s="41" t="s">
        <v>1018</v>
      </c>
      <c r="AE461" s="40"/>
    </row>
    <row r="462" spans="1:31" hidden="1" x14ac:dyDescent="0.25">
      <c r="A462" s="41">
        <f t="shared" si="7"/>
        <v>461</v>
      </c>
      <c r="B462" s="41" t="s">
        <v>163</v>
      </c>
      <c r="C462" s="41" t="s">
        <v>843</v>
      </c>
      <c r="D462" s="42" t="s">
        <v>717</v>
      </c>
      <c r="E462" s="43" t="s">
        <v>166</v>
      </c>
      <c r="F462" s="43" t="s">
        <v>176</v>
      </c>
      <c r="G462" s="41"/>
      <c r="H462" s="41" t="s">
        <v>169</v>
      </c>
      <c r="I462" s="44">
        <v>32000</v>
      </c>
      <c r="J462" s="41">
        <v>800</v>
      </c>
      <c r="K462" s="100">
        <v>0.6</v>
      </c>
      <c r="L462" s="51">
        <v>50</v>
      </c>
      <c r="M462" s="106">
        <v>275</v>
      </c>
      <c r="N462" s="103"/>
      <c r="O462" s="37">
        <v>45890</v>
      </c>
      <c r="P462" s="41"/>
      <c r="Q462" s="41" t="s">
        <v>1020</v>
      </c>
      <c r="R462" s="41"/>
      <c r="S462" s="41"/>
      <c r="T462" s="107">
        <v>13500</v>
      </c>
      <c r="U462" s="41"/>
      <c r="V462" s="41"/>
      <c r="W462" s="41"/>
      <c r="X462" s="41"/>
      <c r="Y462" s="41"/>
      <c r="Z462" s="41"/>
      <c r="AA462" s="41"/>
      <c r="AB462" s="41"/>
      <c r="AC462" s="41" t="s">
        <v>1017</v>
      </c>
      <c r="AD462" s="41" t="s">
        <v>1018</v>
      </c>
      <c r="AE462" s="40"/>
    </row>
    <row r="463" spans="1:31" hidden="1" x14ac:dyDescent="0.25">
      <c r="A463" s="41">
        <f t="shared" si="7"/>
        <v>462</v>
      </c>
      <c r="B463" s="41" t="s">
        <v>163</v>
      </c>
      <c r="C463" s="41" t="s">
        <v>772</v>
      </c>
      <c r="D463" s="42" t="s">
        <v>775</v>
      </c>
      <c r="E463" s="43" t="s">
        <v>166</v>
      </c>
      <c r="F463" s="43" t="s">
        <v>176</v>
      </c>
      <c r="G463" s="41" t="s">
        <v>236</v>
      </c>
      <c r="H463" s="41" t="s">
        <v>169</v>
      </c>
      <c r="I463" s="44">
        <v>50000</v>
      </c>
      <c r="J463" s="41">
        <v>1165</v>
      </c>
      <c r="K463" s="100">
        <v>0.6</v>
      </c>
      <c r="L463" s="51">
        <v>50</v>
      </c>
      <c r="M463" s="106">
        <v>252</v>
      </c>
      <c r="N463" s="103"/>
      <c r="O463" s="37">
        <v>45890</v>
      </c>
      <c r="P463" s="41"/>
      <c r="Q463" s="41" t="s">
        <v>1019</v>
      </c>
      <c r="R463" s="41"/>
      <c r="S463" s="41"/>
      <c r="T463" s="107">
        <v>12500</v>
      </c>
      <c r="U463" s="41"/>
      <c r="V463" s="41"/>
      <c r="W463" s="41"/>
      <c r="X463" s="41"/>
      <c r="Y463" s="41"/>
      <c r="Z463" s="41"/>
      <c r="AA463" s="41"/>
      <c r="AB463" s="41"/>
      <c r="AC463" s="41" t="s">
        <v>1017</v>
      </c>
      <c r="AD463" s="41" t="s">
        <v>1018</v>
      </c>
      <c r="AE463" s="40"/>
    </row>
    <row r="464" spans="1:31" hidden="1" x14ac:dyDescent="0.25">
      <c r="A464" s="41">
        <f t="shared" si="7"/>
        <v>463</v>
      </c>
      <c r="B464" s="41" t="s">
        <v>163</v>
      </c>
      <c r="C464" s="41" t="s">
        <v>772</v>
      </c>
      <c r="D464" s="42" t="s">
        <v>776</v>
      </c>
      <c r="E464" s="43" t="s">
        <v>166</v>
      </c>
      <c r="F464" s="43" t="s">
        <v>181</v>
      </c>
      <c r="G464" s="41" t="s">
        <v>184</v>
      </c>
      <c r="H464" s="41" t="s">
        <v>169</v>
      </c>
      <c r="I464" s="44">
        <v>33000</v>
      </c>
      <c r="J464" s="45">
        <v>480</v>
      </c>
      <c r="K464" s="100">
        <v>0.5</v>
      </c>
      <c r="L464" s="51">
        <v>75</v>
      </c>
      <c r="M464" s="106">
        <v>52</v>
      </c>
      <c r="N464" s="103"/>
      <c r="O464" s="37">
        <v>45890</v>
      </c>
      <c r="P464" s="41"/>
      <c r="Q464" s="41" t="s">
        <v>1022</v>
      </c>
      <c r="R464" s="41"/>
      <c r="S464" s="41"/>
      <c r="T464" s="107">
        <v>8000</v>
      </c>
      <c r="U464" s="41"/>
      <c r="V464" s="41"/>
      <c r="W464" s="41"/>
      <c r="X464" s="41"/>
      <c r="Y464" s="41"/>
      <c r="Z464" s="41"/>
      <c r="AA464" s="41"/>
      <c r="AB464" s="41"/>
      <c r="AC464" s="41" t="s">
        <v>1017</v>
      </c>
      <c r="AD464" s="41" t="s">
        <v>1018</v>
      </c>
      <c r="AE464" s="40"/>
    </row>
    <row r="465" spans="1:31" x14ac:dyDescent="0.25">
      <c r="A465" s="41">
        <f t="shared" si="7"/>
        <v>464</v>
      </c>
      <c r="B465" s="41" t="s">
        <v>163</v>
      </c>
      <c r="C465" s="41" t="s">
        <v>772</v>
      </c>
      <c r="D465" s="42" t="s">
        <v>777</v>
      </c>
      <c r="E465" s="43" t="s">
        <v>171</v>
      </c>
      <c r="F465" s="41" t="s">
        <v>172</v>
      </c>
      <c r="G465" s="41" t="s">
        <v>172</v>
      </c>
      <c r="H465" s="41" t="s">
        <v>169</v>
      </c>
      <c r="I465" s="44">
        <v>600000</v>
      </c>
      <c r="J465" s="41">
        <v>12000</v>
      </c>
      <c r="K465" s="100">
        <v>0.97</v>
      </c>
      <c r="L465" s="51">
        <v>75</v>
      </c>
      <c r="M465" s="109">
        <v>0</v>
      </c>
      <c r="N465" s="103"/>
      <c r="O465" s="37">
        <v>45890</v>
      </c>
      <c r="P465" s="41"/>
      <c r="Q465" s="41"/>
      <c r="R465" s="41"/>
      <c r="S465" s="41"/>
      <c r="T465" s="102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0"/>
    </row>
    <row r="466" spans="1:31" hidden="1" x14ac:dyDescent="0.25">
      <c r="A466" s="41">
        <f t="shared" si="7"/>
        <v>465</v>
      </c>
      <c r="B466" s="41" t="s">
        <v>163</v>
      </c>
      <c r="C466" s="41" t="s">
        <v>772</v>
      </c>
      <c r="D466" s="41" t="s">
        <v>778</v>
      </c>
      <c r="E466" s="43" t="s">
        <v>171</v>
      </c>
      <c r="F466" s="41" t="s">
        <v>172</v>
      </c>
      <c r="G466" s="41" t="s">
        <v>172</v>
      </c>
      <c r="H466" s="41" t="s">
        <v>169</v>
      </c>
      <c r="I466" s="44">
        <v>25000</v>
      </c>
      <c r="J466" s="41">
        <v>500</v>
      </c>
      <c r="K466" s="100">
        <v>1</v>
      </c>
      <c r="L466" s="51">
        <v>50</v>
      </c>
      <c r="M466" s="106">
        <v>40</v>
      </c>
      <c r="N466" s="103"/>
      <c r="O466" s="37">
        <v>45890</v>
      </c>
      <c r="P466" s="41"/>
      <c r="Q466" s="41" t="s">
        <v>881</v>
      </c>
      <c r="R466" s="41"/>
      <c r="S466" s="41"/>
      <c r="T466" s="102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0"/>
    </row>
    <row r="467" spans="1:31" x14ac:dyDescent="0.25">
      <c r="A467" s="41">
        <f t="shared" si="7"/>
        <v>466</v>
      </c>
      <c r="B467" s="41" t="s">
        <v>163</v>
      </c>
      <c r="C467" s="41" t="s">
        <v>772</v>
      </c>
      <c r="D467" s="41" t="s">
        <v>779</v>
      </c>
      <c r="E467" s="43" t="s">
        <v>171</v>
      </c>
      <c r="F467" s="41" t="s">
        <v>172</v>
      </c>
      <c r="G467" s="41" t="s">
        <v>172</v>
      </c>
      <c r="H467" s="41" t="s">
        <v>169</v>
      </c>
      <c r="I467" s="44">
        <v>20000</v>
      </c>
      <c r="J467" s="41">
        <v>400</v>
      </c>
      <c r="K467" s="100">
        <v>1</v>
      </c>
      <c r="L467" s="51">
        <v>50</v>
      </c>
      <c r="M467" s="109">
        <v>0</v>
      </c>
      <c r="N467" s="103"/>
      <c r="O467" s="37">
        <v>45890</v>
      </c>
      <c r="P467" s="41"/>
      <c r="Q467" s="41"/>
      <c r="R467" s="41"/>
      <c r="S467" s="41"/>
      <c r="T467" s="102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0"/>
    </row>
    <row r="468" spans="1:31" hidden="1" x14ac:dyDescent="0.25">
      <c r="A468" s="41">
        <f t="shared" si="7"/>
        <v>467</v>
      </c>
      <c r="B468" s="41" t="s">
        <v>163</v>
      </c>
      <c r="C468" s="41" t="s">
        <v>772</v>
      </c>
      <c r="D468" s="41" t="s">
        <v>780</v>
      </c>
      <c r="E468" s="43" t="s">
        <v>166</v>
      </c>
      <c r="F468" s="43" t="s">
        <v>275</v>
      </c>
      <c r="G468" s="117" t="s">
        <v>396</v>
      </c>
      <c r="H468" s="41" t="s">
        <v>248</v>
      </c>
      <c r="I468" s="44">
        <v>19000</v>
      </c>
      <c r="J468" s="41">
        <v>550</v>
      </c>
      <c r="K468" s="100">
        <v>1</v>
      </c>
      <c r="L468" s="51">
        <v>50</v>
      </c>
      <c r="M468" s="106">
        <v>170</v>
      </c>
      <c r="N468" s="103"/>
      <c r="O468" s="37">
        <v>45890</v>
      </c>
      <c r="P468" s="41"/>
      <c r="Q468" s="41" t="s">
        <v>957</v>
      </c>
      <c r="R468" s="41"/>
      <c r="S468" s="41"/>
      <c r="T468" s="107">
        <v>10500</v>
      </c>
      <c r="U468" s="41"/>
      <c r="V468" s="41"/>
      <c r="W468" s="41"/>
      <c r="X468" s="41"/>
      <c r="Y468" s="41"/>
      <c r="Z468" s="41"/>
      <c r="AA468" s="41"/>
      <c r="AB468" s="41"/>
      <c r="AC468" s="41" t="s">
        <v>1017</v>
      </c>
      <c r="AD468" s="41" t="s">
        <v>1018</v>
      </c>
      <c r="AE468" s="40"/>
    </row>
    <row r="469" spans="1:31" x14ac:dyDescent="0.25">
      <c r="A469" s="41">
        <f t="shared" si="7"/>
        <v>468</v>
      </c>
      <c r="B469" s="41" t="s">
        <v>163</v>
      </c>
      <c r="C469" s="41" t="s">
        <v>772</v>
      </c>
      <c r="D469" s="41" t="s">
        <v>781</v>
      </c>
      <c r="E469" s="43" t="s">
        <v>171</v>
      </c>
      <c r="F469" s="43" t="s">
        <v>215</v>
      </c>
      <c r="G469" s="41" t="s">
        <v>782</v>
      </c>
      <c r="H469" s="41" t="s">
        <v>248</v>
      </c>
      <c r="I469" s="44">
        <v>12000</v>
      </c>
      <c r="J469" s="45">
        <v>240</v>
      </c>
      <c r="K469" s="100">
        <v>1</v>
      </c>
      <c r="L469" s="51">
        <v>50</v>
      </c>
      <c r="M469" s="109">
        <v>0</v>
      </c>
      <c r="N469" s="103"/>
      <c r="O469" s="37">
        <v>45890</v>
      </c>
      <c r="P469" s="41"/>
      <c r="Q469" s="41"/>
      <c r="R469" s="41"/>
      <c r="S469" s="41"/>
      <c r="T469" s="102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0"/>
    </row>
    <row r="470" spans="1:31" x14ac:dyDescent="0.25">
      <c r="A470" s="41">
        <f t="shared" si="7"/>
        <v>469</v>
      </c>
      <c r="B470" s="41" t="s">
        <v>163</v>
      </c>
      <c r="C470" s="41" t="s">
        <v>772</v>
      </c>
      <c r="D470" s="41" t="s">
        <v>783</v>
      </c>
      <c r="E470" s="43" t="s">
        <v>171</v>
      </c>
      <c r="F470" s="41" t="s">
        <v>172</v>
      </c>
      <c r="G470" s="41" t="s">
        <v>172</v>
      </c>
      <c r="H470" s="41" t="s">
        <v>169</v>
      </c>
      <c r="I470" s="44">
        <v>10000</v>
      </c>
      <c r="J470" s="41">
        <v>200</v>
      </c>
      <c r="K470" s="100">
        <v>1</v>
      </c>
      <c r="L470" s="51">
        <v>50</v>
      </c>
      <c r="M470" s="109">
        <v>0</v>
      </c>
      <c r="N470" s="103"/>
      <c r="O470" s="37">
        <v>45890</v>
      </c>
      <c r="P470" s="41"/>
      <c r="Q470" s="41"/>
      <c r="R470" s="41"/>
      <c r="S470" s="41"/>
      <c r="T470" s="102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0"/>
    </row>
    <row r="471" spans="1:31" x14ac:dyDescent="0.25">
      <c r="A471" s="41">
        <f t="shared" si="7"/>
        <v>470</v>
      </c>
      <c r="B471" s="41" t="s">
        <v>163</v>
      </c>
      <c r="C471" s="41" t="s">
        <v>772</v>
      </c>
      <c r="D471" s="42" t="s">
        <v>784</v>
      </c>
      <c r="E471" s="43" t="s">
        <v>171</v>
      </c>
      <c r="F471" s="41" t="s">
        <v>172</v>
      </c>
      <c r="G471" s="41" t="s">
        <v>172</v>
      </c>
      <c r="H471" s="41" t="s">
        <v>169</v>
      </c>
      <c r="I471" s="44">
        <v>8000</v>
      </c>
      <c r="J471" s="41">
        <v>160</v>
      </c>
      <c r="K471" s="100">
        <v>1</v>
      </c>
      <c r="L471" s="51">
        <v>50</v>
      </c>
      <c r="M471" s="109">
        <v>0</v>
      </c>
      <c r="N471" s="103"/>
      <c r="O471" s="37">
        <v>45890</v>
      </c>
      <c r="P471" s="41"/>
      <c r="Q471" s="41"/>
      <c r="R471" s="41"/>
      <c r="S471" s="41"/>
      <c r="T471" s="102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0"/>
    </row>
    <row r="472" spans="1:31" x14ac:dyDescent="0.25">
      <c r="A472" s="41">
        <f t="shared" si="7"/>
        <v>471</v>
      </c>
      <c r="B472" s="41" t="s">
        <v>163</v>
      </c>
      <c r="C472" s="41" t="s">
        <v>772</v>
      </c>
      <c r="D472" s="42" t="s">
        <v>785</v>
      </c>
      <c r="E472" s="43" t="s">
        <v>171</v>
      </c>
      <c r="F472" s="43" t="s">
        <v>181</v>
      </c>
      <c r="G472" s="41" t="s">
        <v>184</v>
      </c>
      <c r="H472" s="41" t="s">
        <v>169</v>
      </c>
      <c r="I472" s="44">
        <v>4000</v>
      </c>
      <c r="J472" s="45">
        <v>80</v>
      </c>
      <c r="K472" s="100">
        <v>1</v>
      </c>
      <c r="L472" s="51">
        <v>50</v>
      </c>
      <c r="M472" s="109">
        <v>0</v>
      </c>
      <c r="N472" s="103"/>
      <c r="O472" s="37">
        <v>45890</v>
      </c>
      <c r="P472" s="41"/>
      <c r="Q472" s="41"/>
      <c r="R472" s="41"/>
      <c r="S472" s="41"/>
      <c r="T472" s="102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0"/>
    </row>
    <row r="473" spans="1:31" hidden="1" x14ac:dyDescent="0.25">
      <c r="A473" s="41">
        <f t="shared" si="7"/>
        <v>472</v>
      </c>
      <c r="B473" s="41" t="s">
        <v>163</v>
      </c>
      <c r="C473" s="41" t="s">
        <v>772</v>
      </c>
      <c r="D473" s="42" t="s">
        <v>786</v>
      </c>
      <c r="E473" s="43" t="s">
        <v>171</v>
      </c>
      <c r="F473" s="41" t="s">
        <v>172</v>
      </c>
      <c r="G473" s="41" t="s">
        <v>172</v>
      </c>
      <c r="H473" s="41" t="s">
        <v>169</v>
      </c>
      <c r="I473" s="44">
        <v>4000</v>
      </c>
      <c r="J473" s="41">
        <v>80</v>
      </c>
      <c r="K473" s="100">
        <v>1</v>
      </c>
      <c r="L473" s="51">
        <v>50</v>
      </c>
      <c r="M473" s="106">
        <v>70</v>
      </c>
      <c r="N473" s="103"/>
      <c r="O473" s="37">
        <v>45890</v>
      </c>
      <c r="P473" s="41"/>
      <c r="Q473" s="41"/>
      <c r="R473" s="41"/>
      <c r="S473" s="41"/>
      <c r="T473" s="102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0"/>
    </row>
    <row r="474" spans="1:31" x14ac:dyDescent="0.25">
      <c r="A474" s="41">
        <f t="shared" si="7"/>
        <v>473</v>
      </c>
      <c r="B474" s="95" t="s">
        <v>163</v>
      </c>
      <c r="C474" s="95" t="s">
        <v>772</v>
      </c>
      <c r="D474" s="95" t="s">
        <v>787</v>
      </c>
      <c r="E474" s="95"/>
      <c r="F474" s="95" t="s">
        <v>198</v>
      </c>
      <c r="G474" s="95" t="s">
        <v>224</v>
      </c>
      <c r="H474" s="98" t="s">
        <v>169</v>
      </c>
      <c r="I474" s="95">
        <v>20000</v>
      </c>
      <c r="J474" s="95">
        <v>400</v>
      </c>
      <c r="K474" s="95"/>
      <c r="L474" s="99"/>
      <c r="M474" s="109">
        <v>0</v>
      </c>
      <c r="N474" s="41"/>
      <c r="O474" s="37">
        <v>45890</v>
      </c>
      <c r="P474" s="95"/>
      <c r="Q474" s="95"/>
      <c r="R474" s="95"/>
      <c r="S474" s="95"/>
      <c r="T474" s="93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  <c r="AE474" s="40"/>
    </row>
    <row r="475" spans="1:31" hidden="1" x14ac:dyDescent="0.25">
      <c r="A475" s="41">
        <f t="shared" si="7"/>
        <v>474</v>
      </c>
      <c r="B475" s="95" t="s">
        <v>163</v>
      </c>
      <c r="C475" s="95" t="s">
        <v>772</v>
      </c>
      <c r="D475" s="41" t="s">
        <v>1023</v>
      </c>
      <c r="E475" s="43" t="s">
        <v>171</v>
      </c>
      <c r="F475" s="41" t="s">
        <v>172</v>
      </c>
      <c r="G475" s="41" t="s">
        <v>172</v>
      </c>
      <c r="H475" s="98" t="s">
        <v>248</v>
      </c>
      <c r="I475" s="41"/>
      <c r="J475" s="41"/>
      <c r="K475" s="41"/>
      <c r="L475" s="41"/>
      <c r="M475" s="106">
        <v>75</v>
      </c>
      <c r="N475" s="41"/>
      <c r="O475" s="37">
        <v>45890</v>
      </c>
      <c r="P475" s="41"/>
      <c r="Q475" s="41" t="s">
        <v>979</v>
      </c>
      <c r="R475" s="41"/>
      <c r="S475" s="41"/>
      <c r="T475" s="102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0"/>
    </row>
    <row r="476" spans="1:31" hidden="1" x14ac:dyDescent="0.25">
      <c r="A476" s="41">
        <f t="shared" si="7"/>
        <v>475</v>
      </c>
      <c r="B476" s="95" t="s">
        <v>163</v>
      </c>
      <c r="C476" s="95" t="s">
        <v>772</v>
      </c>
      <c r="D476" s="41" t="s">
        <v>1024</v>
      </c>
      <c r="E476" s="43" t="s">
        <v>171</v>
      </c>
      <c r="F476" s="41" t="s">
        <v>172</v>
      </c>
      <c r="G476" s="41" t="s">
        <v>172</v>
      </c>
      <c r="H476" s="98" t="s">
        <v>248</v>
      </c>
      <c r="I476" s="41"/>
      <c r="J476" s="41"/>
      <c r="K476" s="41"/>
      <c r="L476" s="41"/>
      <c r="M476" s="106">
        <v>40</v>
      </c>
      <c r="N476" s="41"/>
      <c r="O476" s="37">
        <v>45890</v>
      </c>
      <c r="P476" s="41"/>
      <c r="Q476" s="41" t="s">
        <v>881</v>
      </c>
      <c r="R476" s="41"/>
      <c r="S476" s="41"/>
      <c r="T476" s="102"/>
      <c r="U476" s="41"/>
      <c r="V476" s="41"/>
      <c r="W476" s="41"/>
      <c r="X476" s="41"/>
      <c r="Y476" s="41"/>
      <c r="Z476" s="41"/>
      <c r="AA476" s="41"/>
      <c r="AB476" s="41"/>
      <c r="AC476" s="41" t="s">
        <v>1025</v>
      </c>
      <c r="AD476" s="41"/>
      <c r="AE476" s="40"/>
    </row>
    <row r="477" spans="1:31" hidden="1" x14ac:dyDescent="0.25">
      <c r="A477" s="41">
        <f t="shared" si="7"/>
        <v>476</v>
      </c>
      <c r="B477" s="95" t="s">
        <v>163</v>
      </c>
      <c r="C477" s="95" t="s">
        <v>772</v>
      </c>
      <c r="D477" s="41" t="s">
        <v>1026</v>
      </c>
      <c r="E477" s="43" t="s">
        <v>171</v>
      </c>
      <c r="F477" s="41" t="s">
        <v>172</v>
      </c>
      <c r="G477" s="41" t="s">
        <v>172</v>
      </c>
      <c r="H477" s="98" t="s">
        <v>169</v>
      </c>
      <c r="I477" s="41"/>
      <c r="J477" s="41"/>
      <c r="K477" s="41"/>
      <c r="L477" s="41"/>
      <c r="M477" s="106">
        <v>100</v>
      </c>
      <c r="N477" s="41"/>
      <c r="O477" s="37">
        <v>45890</v>
      </c>
      <c r="P477" s="41"/>
      <c r="Q477" s="41" t="s">
        <v>981</v>
      </c>
      <c r="R477" s="41"/>
      <c r="S477" s="41"/>
      <c r="T477" s="102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0"/>
    </row>
    <row r="478" spans="1:31" hidden="1" x14ac:dyDescent="0.25">
      <c r="A478" s="41">
        <f t="shared" si="7"/>
        <v>477</v>
      </c>
      <c r="B478" s="95" t="s">
        <v>163</v>
      </c>
      <c r="C478" s="95" t="s">
        <v>772</v>
      </c>
      <c r="D478" s="41" t="s">
        <v>1027</v>
      </c>
      <c r="E478" s="43" t="s">
        <v>171</v>
      </c>
      <c r="F478" s="41" t="s">
        <v>172</v>
      </c>
      <c r="G478" s="41" t="s">
        <v>172</v>
      </c>
      <c r="H478" s="98" t="s">
        <v>169</v>
      </c>
      <c r="I478" s="41"/>
      <c r="J478" s="41"/>
      <c r="K478" s="41"/>
      <c r="L478" s="41"/>
      <c r="M478" s="106">
        <v>100</v>
      </c>
      <c r="N478" s="41"/>
      <c r="O478" s="37">
        <v>45890</v>
      </c>
      <c r="P478" s="41"/>
      <c r="Q478" s="41" t="s">
        <v>981</v>
      </c>
      <c r="R478" s="41"/>
      <c r="S478" s="41"/>
      <c r="T478" s="102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0"/>
    </row>
    <row r="479" spans="1:31" hidden="1" x14ac:dyDescent="0.25">
      <c r="A479" s="41">
        <f t="shared" si="7"/>
        <v>478</v>
      </c>
      <c r="B479" s="95" t="s">
        <v>163</v>
      </c>
      <c r="C479" s="95" t="s">
        <v>772</v>
      </c>
      <c r="D479" s="41" t="s">
        <v>1028</v>
      </c>
      <c r="E479" s="43" t="s">
        <v>171</v>
      </c>
      <c r="F479" s="41" t="s">
        <v>172</v>
      </c>
      <c r="G479" s="41" t="s">
        <v>172</v>
      </c>
      <c r="H479" s="98" t="s">
        <v>169</v>
      </c>
      <c r="I479" s="41"/>
      <c r="J479" s="41"/>
      <c r="K479" s="41"/>
      <c r="L479" s="41"/>
      <c r="M479" s="106">
        <v>220</v>
      </c>
      <c r="N479" s="41"/>
      <c r="O479" s="37">
        <v>45890</v>
      </c>
      <c r="P479" s="41"/>
      <c r="Q479" s="41" t="s">
        <v>1029</v>
      </c>
      <c r="R479" s="41"/>
      <c r="S479" s="41"/>
      <c r="T479" s="102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0"/>
    </row>
    <row r="480" spans="1:31" hidden="1" x14ac:dyDescent="0.25">
      <c r="A480" s="41">
        <f t="shared" si="7"/>
        <v>479</v>
      </c>
      <c r="B480" s="95" t="s">
        <v>163</v>
      </c>
      <c r="C480" s="95" t="s">
        <v>772</v>
      </c>
      <c r="D480" s="41" t="s">
        <v>1030</v>
      </c>
      <c r="E480" s="43" t="s">
        <v>171</v>
      </c>
      <c r="F480" s="41" t="s">
        <v>172</v>
      </c>
      <c r="G480" s="41" t="s">
        <v>172</v>
      </c>
      <c r="H480" s="98" t="s">
        <v>169</v>
      </c>
      <c r="I480" s="41"/>
      <c r="J480" s="41"/>
      <c r="K480" s="41"/>
      <c r="L480" s="41"/>
      <c r="M480" s="106">
        <v>65</v>
      </c>
      <c r="N480" s="41"/>
      <c r="O480" s="37">
        <v>45890</v>
      </c>
      <c r="P480" s="41"/>
      <c r="Q480" s="41" t="s">
        <v>981</v>
      </c>
      <c r="R480" s="41"/>
      <c r="S480" s="41"/>
      <c r="T480" s="102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0"/>
    </row>
    <row r="481" spans="1:31" hidden="1" x14ac:dyDescent="0.25">
      <c r="A481" s="41">
        <f t="shared" si="7"/>
        <v>480</v>
      </c>
      <c r="B481" s="95" t="s">
        <v>163</v>
      </c>
      <c r="C481" s="95" t="s">
        <v>772</v>
      </c>
      <c r="D481" s="41" t="s">
        <v>1031</v>
      </c>
      <c r="E481" s="43" t="s">
        <v>171</v>
      </c>
      <c r="F481" s="41" t="s">
        <v>172</v>
      </c>
      <c r="G481" s="41" t="s">
        <v>172</v>
      </c>
      <c r="H481" s="98" t="s">
        <v>169</v>
      </c>
      <c r="I481" s="41"/>
      <c r="J481" s="41"/>
      <c r="K481" s="41"/>
      <c r="L481" s="41"/>
      <c r="M481" s="106">
        <v>35</v>
      </c>
      <c r="N481" s="41"/>
      <c r="O481" s="37">
        <v>45890</v>
      </c>
      <c r="P481" s="41"/>
      <c r="Q481" s="41"/>
      <c r="R481" s="41"/>
      <c r="S481" s="41"/>
      <c r="T481" s="102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0"/>
    </row>
    <row r="482" spans="1:31" hidden="1" x14ac:dyDescent="0.25">
      <c r="A482" s="41">
        <f t="shared" si="7"/>
        <v>481</v>
      </c>
      <c r="B482" s="41" t="s">
        <v>163</v>
      </c>
      <c r="C482" s="41" t="s">
        <v>45</v>
      </c>
      <c r="D482" s="42" t="s">
        <v>788</v>
      </c>
      <c r="E482" s="43" t="s">
        <v>166</v>
      </c>
      <c r="F482" s="41" t="s">
        <v>167</v>
      </c>
      <c r="G482" s="41" t="s">
        <v>789</v>
      </c>
      <c r="H482" s="41" t="s">
        <v>169</v>
      </c>
      <c r="I482" s="44">
        <v>62700</v>
      </c>
      <c r="J482" s="41">
        <v>948</v>
      </c>
      <c r="K482" s="100">
        <v>0.97890295358649793</v>
      </c>
      <c r="L482" s="56">
        <v>66.139240506329116</v>
      </c>
      <c r="M482" s="106">
        <v>44</v>
      </c>
      <c r="N482" s="103">
        <v>7</v>
      </c>
      <c r="O482" s="37">
        <v>45863</v>
      </c>
      <c r="P482" s="41"/>
      <c r="Q482" s="41"/>
      <c r="R482" s="41"/>
      <c r="S482" s="41"/>
      <c r="T482" s="102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0"/>
    </row>
    <row r="483" spans="1:31" hidden="1" x14ac:dyDescent="0.25">
      <c r="A483" s="41">
        <f t="shared" si="7"/>
        <v>482</v>
      </c>
      <c r="B483" s="41" t="s">
        <v>163</v>
      </c>
      <c r="C483" s="41" t="s">
        <v>45</v>
      </c>
      <c r="D483" s="42" t="s">
        <v>790</v>
      </c>
      <c r="E483" s="43" t="s">
        <v>166</v>
      </c>
      <c r="F483" s="41" t="s">
        <v>167</v>
      </c>
      <c r="G483" s="41" t="s">
        <v>168</v>
      </c>
      <c r="H483" s="41" t="s">
        <v>169</v>
      </c>
      <c r="I483" s="44">
        <v>157714</v>
      </c>
      <c r="J483" s="41">
        <v>2443</v>
      </c>
      <c r="K483" s="100">
        <v>0.80352026197298398</v>
      </c>
      <c r="L483" s="56">
        <v>64.557511256651651</v>
      </c>
      <c r="M483" s="106">
        <v>830</v>
      </c>
      <c r="N483" s="103">
        <v>221</v>
      </c>
      <c r="O483" s="37">
        <v>45863</v>
      </c>
      <c r="P483" s="41"/>
      <c r="Q483" s="41"/>
      <c r="R483" s="41"/>
      <c r="S483" s="41"/>
      <c r="T483" s="102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0"/>
    </row>
    <row r="484" spans="1:31" hidden="1" x14ac:dyDescent="0.25">
      <c r="A484" s="41">
        <f t="shared" si="7"/>
        <v>483</v>
      </c>
      <c r="B484" s="41" t="s">
        <v>163</v>
      </c>
      <c r="C484" s="41" t="s">
        <v>45</v>
      </c>
      <c r="D484" s="42" t="s">
        <v>791</v>
      </c>
      <c r="E484" s="43" t="s">
        <v>166</v>
      </c>
      <c r="F484" s="41" t="s">
        <v>198</v>
      </c>
      <c r="G484" s="41" t="s">
        <v>792</v>
      </c>
      <c r="H484" s="41" t="s">
        <v>169</v>
      </c>
      <c r="I484" s="44">
        <v>109000</v>
      </c>
      <c r="J484" s="41">
        <v>1818</v>
      </c>
      <c r="K484" s="100">
        <v>0.93399339933993397</v>
      </c>
      <c r="L484" s="56">
        <v>59.955995599559955</v>
      </c>
      <c r="M484" s="106">
        <v>325</v>
      </c>
      <c r="N484" s="101">
        <v>89</v>
      </c>
      <c r="O484" s="37">
        <v>45863</v>
      </c>
      <c r="P484" s="41"/>
      <c r="Q484" s="41"/>
      <c r="R484" s="41"/>
      <c r="S484" s="41"/>
      <c r="T484" s="102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0"/>
    </row>
    <row r="485" spans="1:31" hidden="1" x14ac:dyDescent="0.25">
      <c r="A485" s="41">
        <f t="shared" si="7"/>
        <v>484</v>
      </c>
      <c r="B485" s="41" t="s">
        <v>163</v>
      </c>
      <c r="C485" s="41" t="s">
        <v>45</v>
      </c>
      <c r="D485" s="42" t="s">
        <v>793</v>
      </c>
      <c r="E485" s="43" t="s">
        <v>166</v>
      </c>
      <c r="F485" s="41" t="s">
        <v>215</v>
      </c>
      <c r="G485" s="41" t="s">
        <v>220</v>
      </c>
      <c r="H485" s="41" t="s">
        <v>169</v>
      </c>
      <c r="I485" s="44">
        <v>112000</v>
      </c>
      <c r="J485" s="41">
        <v>1735</v>
      </c>
      <c r="K485" s="100">
        <v>1</v>
      </c>
      <c r="L485" s="56">
        <v>64.553314121037459</v>
      </c>
      <c r="M485" s="109" t="s">
        <v>837</v>
      </c>
      <c r="N485" s="103" t="s">
        <v>837</v>
      </c>
      <c r="O485" s="37">
        <v>45863</v>
      </c>
      <c r="P485" s="41"/>
      <c r="Q485" s="41"/>
      <c r="R485" s="41"/>
      <c r="S485" s="41"/>
      <c r="T485" s="102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0"/>
    </row>
    <row r="486" spans="1:31" hidden="1" x14ac:dyDescent="0.25">
      <c r="A486" s="41">
        <f t="shared" si="7"/>
        <v>485</v>
      </c>
      <c r="B486" s="41" t="s">
        <v>163</v>
      </c>
      <c r="C486" s="41" t="s">
        <v>45</v>
      </c>
      <c r="D486" s="42" t="s">
        <v>794</v>
      </c>
      <c r="E486" s="43" t="s">
        <v>166</v>
      </c>
      <c r="F486" s="41" t="s">
        <v>167</v>
      </c>
      <c r="G486" s="41" t="s">
        <v>168</v>
      </c>
      <c r="H486" s="41" t="s">
        <v>169</v>
      </c>
      <c r="I486" s="44">
        <v>310000</v>
      </c>
      <c r="J486" s="41">
        <v>5428</v>
      </c>
      <c r="K486" s="100">
        <v>0.6381724392041267</v>
      </c>
      <c r="L486" s="56">
        <v>57.111274871039058</v>
      </c>
      <c r="M486" s="106">
        <v>2106</v>
      </c>
      <c r="N486" s="101">
        <v>251</v>
      </c>
      <c r="O486" s="37">
        <v>45863</v>
      </c>
      <c r="P486" s="41"/>
      <c r="Q486" s="41"/>
      <c r="R486" s="41"/>
      <c r="S486" s="41"/>
      <c r="T486" s="102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0"/>
    </row>
    <row r="487" spans="1:31" hidden="1" x14ac:dyDescent="0.25">
      <c r="A487" s="41">
        <f t="shared" si="7"/>
        <v>486</v>
      </c>
      <c r="B487" s="41" t="s">
        <v>163</v>
      </c>
      <c r="C487" s="41" t="s">
        <v>45</v>
      </c>
      <c r="D487" s="42" t="s">
        <v>795</v>
      </c>
      <c r="E487" s="43" t="s">
        <v>166</v>
      </c>
      <c r="F487" s="41" t="s">
        <v>215</v>
      </c>
      <c r="G487" s="41" t="s">
        <v>220</v>
      </c>
      <c r="H487" s="41" t="s">
        <v>169</v>
      </c>
      <c r="I487" s="44">
        <v>27000</v>
      </c>
      <c r="J487" s="41">
        <v>475</v>
      </c>
      <c r="K487" s="100">
        <v>0.78315789473684205</v>
      </c>
      <c r="L487" s="56">
        <v>56.842105263157897</v>
      </c>
      <c r="M487" s="106">
        <v>211</v>
      </c>
      <c r="N487" s="103">
        <v>227</v>
      </c>
      <c r="O487" s="37">
        <v>45863</v>
      </c>
      <c r="P487" s="41"/>
      <c r="Q487" s="41"/>
      <c r="R487" s="41"/>
      <c r="S487" s="41"/>
      <c r="T487" s="102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0"/>
    </row>
    <row r="488" spans="1:31" hidden="1" x14ac:dyDescent="0.25">
      <c r="A488" s="41">
        <f t="shared" si="7"/>
        <v>487</v>
      </c>
      <c r="B488" s="41" t="s">
        <v>163</v>
      </c>
      <c r="C488" s="41" t="s">
        <v>45</v>
      </c>
      <c r="D488" s="42" t="s">
        <v>796</v>
      </c>
      <c r="E488" s="43" t="s">
        <v>166</v>
      </c>
      <c r="F488" s="41" t="s">
        <v>167</v>
      </c>
      <c r="G488" s="41" t="s">
        <v>168</v>
      </c>
      <c r="H488" s="41" t="s">
        <v>169</v>
      </c>
      <c r="I488" s="44">
        <v>121000</v>
      </c>
      <c r="J488" s="41">
        <v>1985</v>
      </c>
      <c r="K488" s="100">
        <v>0.87002518891687652</v>
      </c>
      <c r="L488" s="56">
        <v>60.957178841309826</v>
      </c>
      <c r="M488" s="106">
        <v>281</v>
      </c>
      <c r="N488" s="101">
        <v>56</v>
      </c>
      <c r="O488" s="37">
        <v>45863</v>
      </c>
      <c r="P488" s="41"/>
      <c r="Q488" s="41"/>
      <c r="R488" s="41"/>
      <c r="S488" s="41"/>
      <c r="T488" s="102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0"/>
    </row>
    <row r="489" spans="1:31" hidden="1" x14ac:dyDescent="0.25">
      <c r="A489" s="41">
        <f t="shared" si="7"/>
        <v>488</v>
      </c>
      <c r="B489" s="41" t="s">
        <v>163</v>
      </c>
      <c r="C489" s="41" t="s">
        <v>45</v>
      </c>
      <c r="D489" s="42" t="s">
        <v>797</v>
      </c>
      <c r="E489" s="43" t="s">
        <v>166</v>
      </c>
      <c r="F489" s="41" t="s">
        <v>215</v>
      </c>
      <c r="G489" s="41" t="s">
        <v>220</v>
      </c>
      <c r="H489" s="41" t="s">
        <v>169</v>
      </c>
      <c r="I489" s="44">
        <v>283000</v>
      </c>
      <c r="J489" s="41">
        <v>3432</v>
      </c>
      <c r="K489" s="100">
        <v>0.93380406001765226</v>
      </c>
      <c r="L489" s="56">
        <v>62.44483671668138</v>
      </c>
      <c r="M489" s="106">
        <v>229</v>
      </c>
      <c r="N489" s="103">
        <v>114</v>
      </c>
      <c r="O489" s="37">
        <v>45863</v>
      </c>
      <c r="P489" s="41"/>
      <c r="Q489" s="41"/>
      <c r="R489" s="41"/>
      <c r="S489" s="41"/>
      <c r="T489" s="102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0"/>
    </row>
    <row r="490" spans="1:31" hidden="1" x14ac:dyDescent="0.25">
      <c r="A490" s="41">
        <f t="shared" si="7"/>
        <v>489</v>
      </c>
      <c r="B490" s="41" t="s">
        <v>163</v>
      </c>
      <c r="C490" s="41" t="s">
        <v>45</v>
      </c>
      <c r="D490" s="42" t="s">
        <v>798</v>
      </c>
      <c r="E490" s="43" t="s">
        <v>166</v>
      </c>
      <c r="F490" s="41" t="s">
        <v>167</v>
      </c>
      <c r="G490" s="41" t="s">
        <v>247</v>
      </c>
      <c r="H490" s="41" t="s">
        <v>169</v>
      </c>
      <c r="I490" s="44">
        <v>241600</v>
      </c>
      <c r="J490" s="41">
        <v>4273</v>
      </c>
      <c r="K490" s="100">
        <v>0.79358764334191434</v>
      </c>
      <c r="L490" s="56">
        <v>56.541071846477884</v>
      </c>
      <c r="M490" s="106">
        <v>1116</v>
      </c>
      <c r="N490" s="101">
        <v>325</v>
      </c>
      <c r="O490" s="37">
        <v>45863</v>
      </c>
      <c r="P490" s="41"/>
      <c r="Q490" s="41"/>
      <c r="R490" s="41"/>
      <c r="S490" s="41"/>
      <c r="T490" s="102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0"/>
    </row>
    <row r="491" spans="1:31" hidden="1" x14ac:dyDescent="0.25">
      <c r="A491" s="41">
        <f t="shared" si="7"/>
        <v>490</v>
      </c>
      <c r="B491" s="41" t="s">
        <v>163</v>
      </c>
      <c r="C491" s="41" t="s">
        <v>45</v>
      </c>
      <c r="D491" s="42" t="s">
        <v>799</v>
      </c>
      <c r="E491" s="43" t="s">
        <v>166</v>
      </c>
      <c r="F491" s="41" t="s">
        <v>215</v>
      </c>
      <c r="G491" s="41" t="s">
        <v>220</v>
      </c>
      <c r="H491" s="41" t="s">
        <v>169</v>
      </c>
      <c r="I491" s="44">
        <v>68000</v>
      </c>
      <c r="J491" s="41">
        <v>1134</v>
      </c>
      <c r="K491" s="100">
        <v>1</v>
      </c>
      <c r="L491" s="56">
        <v>59.964726631393297</v>
      </c>
      <c r="M491" s="118" t="s">
        <v>837</v>
      </c>
      <c r="N491" s="119" t="s">
        <v>837</v>
      </c>
      <c r="O491" s="37">
        <v>45863</v>
      </c>
      <c r="P491" s="41"/>
      <c r="Q491" s="41"/>
      <c r="R491" s="41"/>
      <c r="S491" s="41"/>
      <c r="T491" s="102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0"/>
    </row>
    <row r="492" spans="1:31" hidden="1" x14ac:dyDescent="0.25">
      <c r="A492" s="41">
        <f t="shared" si="7"/>
        <v>491</v>
      </c>
      <c r="B492" s="41" t="s">
        <v>163</v>
      </c>
      <c r="C492" s="41" t="s">
        <v>45</v>
      </c>
      <c r="D492" s="42" t="s">
        <v>800</v>
      </c>
      <c r="E492" s="43" t="s">
        <v>166</v>
      </c>
      <c r="F492" s="41" t="s">
        <v>167</v>
      </c>
      <c r="G492" s="41" t="s">
        <v>328</v>
      </c>
      <c r="H492" s="41" t="s">
        <v>169</v>
      </c>
      <c r="I492" s="44">
        <v>117000</v>
      </c>
      <c r="J492" s="41">
        <v>1800</v>
      </c>
      <c r="K492" s="100">
        <v>0.37666666666666665</v>
      </c>
      <c r="L492" s="56">
        <v>65</v>
      </c>
      <c r="M492" s="106">
        <v>1773</v>
      </c>
      <c r="N492" s="103">
        <v>259</v>
      </c>
      <c r="O492" s="37">
        <v>45863</v>
      </c>
      <c r="P492" s="41"/>
      <c r="Q492" s="41"/>
      <c r="R492" s="41"/>
      <c r="S492" s="41"/>
      <c r="T492" s="102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0"/>
    </row>
    <row r="493" spans="1:31" x14ac:dyDescent="0.25">
      <c r="A493" s="41">
        <f t="shared" si="7"/>
        <v>492</v>
      </c>
      <c r="B493" s="41" t="s">
        <v>163</v>
      </c>
      <c r="C493" s="41" t="s">
        <v>45</v>
      </c>
      <c r="D493" s="42" t="s">
        <v>801</v>
      </c>
      <c r="E493" s="43" t="s">
        <v>166</v>
      </c>
      <c r="F493" s="41" t="s">
        <v>215</v>
      </c>
      <c r="G493" s="41" t="s">
        <v>220</v>
      </c>
      <c r="H493" s="41" t="s">
        <v>248</v>
      </c>
      <c r="I493" s="44">
        <v>59000</v>
      </c>
      <c r="J493" s="41">
        <v>950</v>
      </c>
      <c r="K493" s="100">
        <v>1</v>
      </c>
      <c r="L493" s="56">
        <v>62.10526315789474</v>
      </c>
      <c r="M493" s="109">
        <v>0</v>
      </c>
      <c r="N493" s="101"/>
      <c r="O493" s="37">
        <v>45863</v>
      </c>
      <c r="P493" s="41"/>
      <c r="Q493" s="41"/>
      <c r="R493" s="41"/>
      <c r="S493" s="41"/>
      <c r="T493" s="102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0"/>
    </row>
    <row r="494" spans="1:31" hidden="1" x14ac:dyDescent="0.25">
      <c r="A494" s="41">
        <f t="shared" si="7"/>
        <v>493</v>
      </c>
      <c r="B494" s="41" t="s">
        <v>163</v>
      </c>
      <c r="C494" s="41" t="s">
        <v>45</v>
      </c>
      <c r="D494" s="42" t="s">
        <v>802</v>
      </c>
      <c r="E494" s="43" t="s">
        <v>166</v>
      </c>
      <c r="F494" s="41" t="s">
        <v>388</v>
      </c>
      <c r="G494" s="41" t="s">
        <v>803</v>
      </c>
      <c r="H494" s="41" t="s">
        <v>169</v>
      </c>
      <c r="I494" s="44">
        <v>89200</v>
      </c>
      <c r="J494" s="41">
        <v>1282</v>
      </c>
      <c r="K494" s="100">
        <v>0.82371294851794075</v>
      </c>
      <c r="L494" s="56">
        <v>69.57878315132605</v>
      </c>
      <c r="M494" s="106">
        <v>250</v>
      </c>
      <c r="N494" s="103">
        <v>55</v>
      </c>
      <c r="O494" s="37">
        <v>45863</v>
      </c>
      <c r="P494" s="41"/>
      <c r="Q494" s="41"/>
      <c r="R494" s="41"/>
      <c r="S494" s="41"/>
      <c r="T494" s="102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0"/>
    </row>
    <row r="495" spans="1:31" hidden="1" x14ac:dyDescent="0.25">
      <c r="A495" s="41">
        <f t="shared" si="7"/>
        <v>494</v>
      </c>
      <c r="B495" s="41" t="s">
        <v>163</v>
      </c>
      <c r="C495" s="41" t="s">
        <v>45</v>
      </c>
      <c r="D495" s="42" t="s">
        <v>804</v>
      </c>
      <c r="E495" s="43" t="s">
        <v>166</v>
      </c>
      <c r="F495" s="41" t="s">
        <v>176</v>
      </c>
      <c r="G495" s="41" t="s">
        <v>276</v>
      </c>
      <c r="H495" s="41" t="s">
        <v>169</v>
      </c>
      <c r="I495" s="44">
        <v>68000</v>
      </c>
      <c r="J495" s="41">
        <v>774</v>
      </c>
      <c r="K495" s="100">
        <v>0.86304909560723519</v>
      </c>
      <c r="L495" s="56">
        <v>87.855297157622743</v>
      </c>
      <c r="M495" s="106">
        <v>308</v>
      </c>
      <c r="N495" s="103">
        <v>256</v>
      </c>
      <c r="O495" s="37">
        <v>45863</v>
      </c>
      <c r="P495" s="41"/>
      <c r="Q495" s="41"/>
      <c r="R495" s="41"/>
      <c r="S495" s="41"/>
      <c r="T495" s="102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0"/>
    </row>
    <row r="496" spans="1:31" hidden="1" x14ac:dyDescent="0.25">
      <c r="A496" s="41">
        <f t="shared" si="7"/>
        <v>495</v>
      </c>
      <c r="B496" s="41" t="s">
        <v>163</v>
      </c>
      <c r="C496" s="41" t="s">
        <v>45</v>
      </c>
      <c r="D496" s="42" t="s">
        <v>805</v>
      </c>
      <c r="E496" s="43" t="s">
        <v>166</v>
      </c>
      <c r="F496" s="41" t="s">
        <v>176</v>
      </c>
      <c r="G496" s="41" t="s">
        <v>588</v>
      </c>
      <c r="H496" s="41" t="s">
        <v>169</v>
      </c>
      <c r="I496" s="44">
        <v>132700</v>
      </c>
      <c r="J496" s="41">
        <v>1683</v>
      </c>
      <c r="K496" s="100">
        <v>0.84016636957813429</v>
      </c>
      <c r="L496" s="56">
        <v>78.847296494355319</v>
      </c>
      <c r="M496" s="106">
        <v>66</v>
      </c>
      <c r="N496" s="103">
        <v>13</v>
      </c>
      <c r="O496" s="37">
        <v>45863</v>
      </c>
      <c r="P496" s="41"/>
      <c r="Q496" s="41"/>
      <c r="R496" s="41"/>
      <c r="S496" s="41"/>
      <c r="T496" s="102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0"/>
    </row>
    <row r="497" spans="1:31" hidden="1" x14ac:dyDescent="0.25">
      <c r="A497" s="41">
        <f t="shared" si="7"/>
        <v>496</v>
      </c>
      <c r="B497" s="41" t="s">
        <v>163</v>
      </c>
      <c r="C497" s="41" t="s">
        <v>45</v>
      </c>
      <c r="D497" s="42" t="s">
        <v>806</v>
      </c>
      <c r="E497" s="43" t="s">
        <v>166</v>
      </c>
      <c r="F497" s="41" t="s">
        <v>176</v>
      </c>
      <c r="G497" s="41" t="s">
        <v>807</v>
      </c>
      <c r="H497" s="41" t="s">
        <v>169</v>
      </c>
      <c r="I497" s="44">
        <v>61000</v>
      </c>
      <c r="J497" s="41">
        <v>1055</v>
      </c>
      <c r="K497" s="100">
        <v>0.27677725118483415</v>
      </c>
      <c r="L497" s="56">
        <v>57.81990521327014</v>
      </c>
      <c r="M497" s="106">
        <v>824</v>
      </c>
      <c r="N497" s="103">
        <v>413</v>
      </c>
      <c r="O497" s="37">
        <v>45863</v>
      </c>
      <c r="P497" s="41"/>
      <c r="Q497" s="41"/>
      <c r="R497" s="41"/>
      <c r="S497" s="41"/>
      <c r="T497" s="102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0"/>
    </row>
    <row r="498" spans="1:31" hidden="1" x14ac:dyDescent="0.25">
      <c r="A498" s="41">
        <f t="shared" si="7"/>
        <v>497</v>
      </c>
      <c r="B498" s="41" t="s">
        <v>163</v>
      </c>
      <c r="C498" s="41" t="s">
        <v>45</v>
      </c>
      <c r="D498" s="42" t="s">
        <v>808</v>
      </c>
      <c r="E498" s="43" t="s">
        <v>166</v>
      </c>
      <c r="F498" s="41" t="s">
        <v>181</v>
      </c>
      <c r="G498" s="41" t="s">
        <v>448</v>
      </c>
      <c r="H498" s="41" t="s">
        <v>169</v>
      </c>
      <c r="I498" s="44">
        <v>64700</v>
      </c>
      <c r="J498" s="41">
        <v>966</v>
      </c>
      <c r="K498" s="100">
        <v>0.80848861283643891</v>
      </c>
      <c r="L498" s="56">
        <v>66.97722567287785</v>
      </c>
      <c r="M498" s="106">
        <v>89</v>
      </c>
      <c r="N498" s="103">
        <v>123</v>
      </c>
      <c r="O498" s="37">
        <v>45863</v>
      </c>
      <c r="P498" s="41"/>
      <c r="Q498" s="41"/>
      <c r="R498" s="41"/>
      <c r="S498" s="41"/>
      <c r="T498" s="102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0"/>
    </row>
    <row r="499" spans="1:31" hidden="1" x14ac:dyDescent="0.25">
      <c r="A499" s="41">
        <f t="shared" si="7"/>
        <v>498</v>
      </c>
      <c r="B499" s="41" t="s">
        <v>163</v>
      </c>
      <c r="C499" s="41" t="s">
        <v>45</v>
      </c>
      <c r="D499" s="42" t="s">
        <v>809</v>
      </c>
      <c r="E499" s="43" t="s">
        <v>166</v>
      </c>
      <c r="F499" s="41" t="s">
        <v>181</v>
      </c>
      <c r="G499" s="41" t="s">
        <v>810</v>
      </c>
      <c r="H499" s="41" t="s">
        <v>169</v>
      </c>
      <c r="I499" s="44">
        <v>145500</v>
      </c>
      <c r="J499" s="41">
        <v>2190</v>
      </c>
      <c r="K499" s="100">
        <v>0.81461187214611874</v>
      </c>
      <c r="L499" s="56">
        <v>66.438356164383563</v>
      </c>
      <c r="M499" s="106">
        <v>843</v>
      </c>
      <c r="N499" s="101">
        <v>355</v>
      </c>
      <c r="O499" s="37">
        <v>45863</v>
      </c>
      <c r="P499" s="41"/>
      <c r="Q499" s="41"/>
      <c r="R499" s="41"/>
      <c r="S499" s="41"/>
      <c r="T499" s="102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0"/>
    </row>
    <row r="500" spans="1:31" hidden="1" x14ac:dyDescent="0.25">
      <c r="A500" s="41">
        <f t="shared" si="7"/>
        <v>499</v>
      </c>
      <c r="B500" s="41" t="s">
        <v>163</v>
      </c>
      <c r="C500" s="41" t="s">
        <v>45</v>
      </c>
      <c r="D500" s="42" t="s">
        <v>811</v>
      </c>
      <c r="E500" s="43" t="s">
        <v>166</v>
      </c>
      <c r="F500" s="41" t="s">
        <v>181</v>
      </c>
      <c r="G500" s="41" t="s">
        <v>184</v>
      </c>
      <c r="H500" s="41" t="s">
        <v>169</v>
      </c>
      <c r="I500" s="44">
        <v>52800</v>
      </c>
      <c r="J500" s="41">
        <v>795</v>
      </c>
      <c r="K500" s="100">
        <v>0.89559748427672958</v>
      </c>
      <c r="L500" s="56">
        <v>66.415094339622641</v>
      </c>
      <c r="M500" s="106">
        <v>140</v>
      </c>
      <c r="N500" s="103">
        <v>40</v>
      </c>
      <c r="O500" s="37">
        <v>45863</v>
      </c>
      <c r="P500" s="41"/>
      <c r="Q500" s="41"/>
      <c r="R500" s="41"/>
      <c r="S500" s="41"/>
      <c r="T500" s="102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0"/>
    </row>
    <row r="501" spans="1:31" hidden="1" x14ac:dyDescent="0.25">
      <c r="A501" s="41">
        <f t="shared" si="7"/>
        <v>500</v>
      </c>
      <c r="B501" s="41" t="s">
        <v>163</v>
      </c>
      <c r="C501" s="41" t="s">
        <v>45</v>
      </c>
      <c r="D501" s="42" t="s">
        <v>812</v>
      </c>
      <c r="E501" s="43" t="s">
        <v>166</v>
      </c>
      <c r="F501" s="41" t="s">
        <v>176</v>
      </c>
      <c r="G501" s="41" t="s">
        <v>768</v>
      </c>
      <c r="H501" s="41" t="s">
        <v>169</v>
      </c>
      <c r="I501" s="44">
        <v>61000</v>
      </c>
      <c r="J501" s="41">
        <v>970</v>
      </c>
      <c r="K501" s="100">
        <v>0.99072164948453612</v>
      </c>
      <c r="L501" s="56">
        <v>62.886597938144327</v>
      </c>
      <c r="M501" s="106">
        <v>193</v>
      </c>
      <c r="N501" s="103">
        <v>79</v>
      </c>
      <c r="O501" s="37">
        <v>45863</v>
      </c>
      <c r="P501" s="41"/>
      <c r="Q501" s="41"/>
      <c r="R501" s="41"/>
      <c r="S501" s="41"/>
      <c r="T501" s="102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0"/>
    </row>
    <row r="502" spans="1:31" hidden="1" x14ac:dyDescent="0.25">
      <c r="A502" s="41">
        <f t="shared" si="7"/>
        <v>501</v>
      </c>
      <c r="B502" s="41" t="s">
        <v>163</v>
      </c>
      <c r="C502" s="41" t="s">
        <v>45</v>
      </c>
      <c r="D502" s="42" t="s">
        <v>813</v>
      </c>
      <c r="E502" s="43" t="s">
        <v>166</v>
      </c>
      <c r="F502" s="41" t="s">
        <v>176</v>
      </c>
      <c r="G502" s="41" t="s">
        <v>236</v>
      </c>
      <c r="H502" s="41" t="s">
        <v>169</v>
      </c>
      <c r="I502" s="44">
        <v>140000</v>
      </c>
      <c r="J502" s="41">
        <v>2254</v>
      </c>
      <c r="K502" s="100">
        <v>0.96228926353149957</v>
      </c>
      <c r="L502" s="56">
        <v>62.111801242236027</v>
      </c>
      <c r="M502" s="106">
        <v>198</v>
      </c>
      <c r="N502" s="103">
        <v>140</v>
      </c>
      <c r="O502" s="37">
        <v>45863</v>
      </c>
      <c r="P502" s="41"/>
      <c r="Q502" s="41"/>
      <c r="R502" s="41"/>
      <c r="S502" s="41"/>
      <c r="T502" s="102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0"/>
    </row>
    <row r="503" spans="1:31" x14ac:dyDescent="0.25">
      <c r="A503" s="41">
        <f t="shared" si="7"/>
        <v>502</v>
      </c>
      <c r="B503" s="41" t="s">
        <v>163</v>
      </c>
      <c r="C503" s="41" t="s">
        <v>45</v>
      </c>
      <c r="D503" s="42" t="s">
        <v>814</v>
      </c>
      <c r="E503" s="43" t="s">
        <v>166</v>
      </c>
      <c r="F503" s="41" t="s">
        <v>167</v>
      </c>
      <c r="G503" s="41" t="s">
        <v>328</v>
      </c>
      <c r="H503" s="41" t="s">
        <v>169</v>
      </c>
      <c r="I503" s="44">
        <v>350000</v>
      </c>
      <c r="J503" s="41">
        <v>5653</v>
      </c>
      <c r="K503" s="100">
        <v>1</v>
      </c>
      <c r="L503" s="56">
        <v>61.914027949761191</v>
      </c>
      <c r="M503" s="109">
        <v>0</v>
      </c>
      <c r="N503" s="101"/>
      <c r="O503" s="37">
        <v>45863</v>
      </c>
      <c r="P503" s="41"/>
      <c r="Q503" s="41"/>
      <c r="R503" s="41"/>
      <c r="S503" s="41"/>
      <c r="T503" s="102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0"/>
    </row>
    <row r="504" spans="1:31" hidden="1" x14ac:dyDescent="0.25">
      <c r="A504" s="41">
        <f t="shared" si="7"/>
        <v>503</v>
      </c>
      <c r="B504" s="41" t="s">
        <v>163</v>
      </c>
      <c r="C504" s="41" t="s">
        <v>45</v>
      </c>
      <c r="D504" s="42" t="s">
        <v>815</v>
      </c>
      <c r="E504" s="43" t="s">
        <v>166</v>
      </c>
      <c r="F504" s="41" t="s">
        <v>167</v>
      </c>
      <c r="G504" s="41" t="s">
        <v>328</v>
      </c>
      <c r="H504" s="41" t="s">
        <v>169</v>
      </c>
      <c r="I504" s="44">
        <v>90000</v>
      </c>
      <c r="J504" s="41">
        <v>1691</v>
      </c>
      <c r="K504" s="100">
        <v>0.17681845062093435</v>
      </c>
      <c r="L504" s="56">
        <v>53.222945002956827</v>
      </c>
      <c r="M504" s="106">
        <v>1000</v>
      </c>
      <c r="N504" s="103">
        <v>107</v>
      </c>
      <c r="O504" s="37">
        <v>45863</v>
      </c>
      <c r="P504" s="41"/>
      <c r="Q504" s="41"/>
      <c r="R504" s="41"/>
      <c r="S504" s="41"/>
      <c r="T504" s="102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0"/>
    </row>
    <row r="505" spans="1:31" x14ac:dyDescent="0.25">
      <c r="A505" s="41">
        <f t="shared" si="7"/>
        <v>504</v>
      </c>
      <c r="B505" s="41" t="s">
        <v>163</v>
      </c>
      <c r="C505" s="41" t="s">
        <v>45</v>
      </c>
      <c r="D505" s="42" t="s">
        <v>816</v>
      </c>
      <c r="E505" s="43" t="s">
        <v>166</v>
      </c>
      <c r="F505" s="41" t="s">
        <v>388</v>
      </c>
      <c r="G505" s="41" t="s">
        <v>817</v>
      </c>
      <c r="H505" s="41" t="s">
        <v>248</v>
      </c>
      <c r="I505" s="44">
        <v>32500</v>
      </c>
      <c r="J505" s="41">
        <v>440</v>
      </c>
      <c r="K505" s="100">
        <v>1</v>
      </c>
      <c r="L505" s="56">
        <v>73.86363636363636</v>
      </c>
      <c r="M505" s="109">
        <v>0</v>
      </c>
      <c r="N505" s="101"/>
      <c r="O505" s="37">
        <v>45863</v>
      </c>
      <c r="P505" s="41"/>
      <c r="Q505" s="41"/>
      <c r="R505" s="41"/>
      <c r="S505" s="41"/>
      <c r="T505" s="102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0"/>
    </row>
    <row r="506" spans="1:31" hidden="1" x14ac:dyDescent="0.25">
      <c r="A506" s="41">
        <f t="shared" si="7"/>
        <v>505</v>
      </c>
      <c r="B506" s="41" t="s">
        <v>163</v>
      </c>
      <c r="C506" s="41" t="s">
        <v>45</v>
      </c>
      <c r="D506" s="42" t="s">
        <v>818</v>
      </c>
      <c r="E506" s="43" t="s">
        <v>166</v>
      </c>
      <c r="F506" s="41" t="s">
        <v>208</v>
      </c>
      <c r="G506" s="41" t="s">
        <v>803</v>
      </c>
      <c r="H506" s="41" t="s">
        <v>169</v>
      </c>
      <c r="I506" s="44">
        <v>52000</v>
      </c>
      <c r="J506" s="41">
        <v>632</v>
      </c>
      <c r="K506" s="100">
        <v>0.694620253164557</v>
      </c>
      <c r="L506" s="56">
        <v>82.278481012658233</v>
      </c>
      <c r="M506" s="106">
        <v>350</v>
      </c>
      <c r="N506" s="103">
        <v>187</v>
      </c>
      <c r="O506" s="37">
        <v>45863</v>
      </c>
      <c r="P506" s="41"/>
      <c r="Q506" s="41"/>
      <c r="R506" s="41"/>
      <c r="S506" s="41"/>
      <c r="T506" s="102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0"/>
    </row>
    <row r="507" spans="1:31" x14ac:dyDescent="0.25">
      <c r="A507" s="41">
        <f t="shared" si="7"/>
        <v>506</v>
      </c>
      <c r="B507" s="41" t="s">
        <v>163</v>
      </c>
      <c r="C507" s="41" t="s">
        <v>45</v>
      </c>
      <c r="D507" s="42" t="s">
        <v>819</v>
      </c>
      <c r="E507" s="43" t="s">
        <v>166</v>
      </c>
      <c r="F507" s="41" t="s">
        <v>167</v>
      </c>
      <c r="G507" s="41" t="s">
        <v>328</v>
      </c>
      <c r="H507" s="41" t="s">
        <v>248</v>
      </c>
      <c r="I507" s="44">
        <v>35000</v>
      </c>
      <c r="J507" s="41">
        <v>500</v>
      </c>
      <c r="K507" s="100">
        <v>1</v>
      </c>
      <c r="L507" s="56">
        <v>70</v>
      </c>
      <c r="M507" s="109">
        <v>0</v>
      </c>
      <c r="N507" s="103"/>
      <c r="O507" s="37">
        <v>45863</v>
      </c>
      <c r="P507" s="41"/>
      <c r="Q507" s="41"/>
      <c r="R507" s="41"/>
      <c r="S507" s="41"/>
      <c r="T507" s="102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0"/>
    </row>
    <row r="508" spans="1:31" x14ac:dyDescent="0.25">
      <c r="A508" s="41">
        <f t="shared" si="7"/>
        <v>507</v>
      </c>
      <c r="B508" s="41" t="s">
        <v>163</v>
      </c>
      <c r="C508" s="41" t="s">
        <v>45</v>
      </c>
      <c r="D508" s="42" t="s">
        <v>820</v>
      </c>
      <c r="E508" s="43" t="s">
        <v>166</v>
      </c>
      <c r="F508" s="41" t="s">
        <v>167</v>
      </c>
      <c r="G508" s="41" t="s">
        <v>419</v>
      </c>
      <c r="H508" s="41" t="s">
        <v>248</v>
      </c>
      <c r="I508" s="44">
        <v>17000</v>
      </c>
      <c r="J508" s="41">
        <v>170</v>
      </c>
      <c r="K508" s="100">
        <v>1</v>
      </c>
      <c r="L508" s="56">
        <v>100</v>
      </c>
      <c r="M508" s="109">
        <v>0</v>
      </c>
      <c r="N508" s="103"/>
      <c r="O508" s="37">
        <v>45863</v>
      </c>
      <c r="P508" s="41"/>
      <c r="Q508" s="41"/>
      <c r="R508" s="41"/>
      <c r="S508" s="41"/>
      <c r="T508" s="102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0"/>
    </row>
    <row r="509" spans="1:31" x14ac:dyDescent="0.25">
      <c r="A509" s="41">
        <f t="shared" si="7"/>
        <v>508</v>
      </c>
      <c r="B509" s="41" t="s">
        <v>163</v>
      </c>
      <c r="C509" s="41" t="s">
        <v>45</v>
      </c>
      <c r="D509" s="42" t="s">
        <v>821</v>
      </c>
      <c r="E509" s="43" t="s">
        <v>166</v>
      </c>
      <c r="F509" s="41" t="s">
        <v>215</v>
      </c>
      <c r="G509" s="41" t="s">
        <v>220</v>
      </c>
      <c r="H509" s="41" t="s">
        <v>248</v>
      </c>
      <c r="I509" s="44">
        <v>48500</v>
      </c>
      <c r="J509" s="41">
        <v>790</v>
      </c>
      <c r="K509" s="100">
        <v>1</v>
      </c>
      <c r="L509" s="56">
        <v>61.392405063291136</v>
      </c>
      <c r="M509" s="109">
        <v>0</v>
      </c>
      <c r="N509" s="103"/>
      <c r="O509" s="37">
        <v>45863</v>
      </c>
      <c r="P509" s="41"/>
      <c r="Q509" s="41"/>
      <c r="R509" s="41"/>
      <c r="S509" s="41"/>
      <c r="T509" s="102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0"/>
    </row>
    <row r="510" spans="1:31" x14ac:dyDescent="0.25">
      <c r="A510" s="41">
        <f t="shared" si="7"/>
        <v>509</v>
      </c>
      <c r="B510" s="41" t="s">
        <v>163</v>
      </c>
      <c r="C510" s="41" t="s">
        <v>45</v>
      </c>
      <c r="D510" s="42" t="s">
        <v>822</v>
      </c>
      <c r="E510" s="43" t="s">
        <v>166</v>
      </c>
      <c r="F510" s="41" t="s">
        <v>167</v>
      </c>
      <c r="G510" s="41" t="s">
        <v>328</v>
      </c>
      <c r="H510" s="41" t="s">
        <v>248</v>
      </c>
      <c r="I510" s="44">
        <v>50000</v>
      </c>
      <c r="J510" s="41">
        <v>830</v>
      </c>
      <c r="K510" s="100">
        <v>1</v>
      </c>
      <c r="L510" s="56">
        <v>60.24096385542169</v>
      </c>
      <c r="M510" s="109">
        <v>0</v>
      </c>
      <c r="N510" s="103"/>
      <c r="O510" s="37">
        <v>45863</v>
      </c>
      <c r="P510" s="41"/>
      <c r="Q510" s="41"/>
      <c r="R510" s="41"/>
      <c r="S510" s="41"/>
      <c r="T510" s="102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0"/>
    </row>
    <row r="511" spans="1:31" hidden="1" x14ac:dyDescent="0.25">
      <c r="A511" s="41">
        <f t="shared" si="7"/>
        <v>510</v>
      </c>
      <c r="B511" s="41" t="s">
        <v>163</v>
      </c>
      <c r="C511" s="41" t="s">
        <v>89</v>
      </c>
      <c r="D511" s="42" t="s">
        <v>823</v>
      </c>
      <c r="E511" s="43" t="s">
        <v>171</v>
      </c>
      <c r="F511" s="41" t="s">
        <v>176</v>
      </c>
      <c r="G511" s="41" t="s">
        <v>588</v>
      </c>
      <c r="H511" s="41" t="s">
        <v>169</v>
      </c>
      <c r="I511" s="44">
        <v>45000</v>
      </c>
      <c r="J511" s="41">
        <v>900</v>
      </c>
      <c r="K511" s="100">
        <v>0.9</v>
      </c>
      <c r="L511" s="51">
        <v>50</v>
      </c>
      <c r="M511" s="41"/>
      <c r="N511" s="103"/>
      <c r="O511" s="37"/>
      <c r="P511" s="41"/>
      <c r="Q511" s="41"/>
      <c r="R511" s="41"/>
      <c r="S511" s="41"/>
      <c r="T511" s="102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0"/>
    </row>
    <row r="512" spans="1:31" hidden="1" x14ac:dyDescent="0.25">
      <c r="A512" s="41">
        <f t="shared" si="7"/>
        <v>511</v>
      </c>
      <c r="B512" s="41" t="s">
        <v>163</v>
      </c>
      <c r="C512" s="41" t="s">
        <v>824</v>
      </c>
      <c r="D512" s="42" t="s">
        <v>825</v>
      </c>
      <c r="E512" s="43" t="s">
        <v>166</v>
      </c>
      <c r="F512" s="43" t="s">
        <v>208</v>
      </c>
      <c r="G512" s="41" t="s">
        <v>209</v>
      </c>
      <c r="H512" s="41" t="s">
        <v>169</v>
      </c>
      <c r="I512" s="44" t="s">
        <v>826</v>
      </c>
      <c r="J512" s="41">
        <v>3000</v>
      </c>
      <c r="K512" s="100">
        <v>0.25</v>
      </c>
      <c r="L512" s="51" t="s">
        <v>827</v>
      </c>
      <c r="M512" s="115">
        <v>3000</v>
      </c>
      <c r="N512" s="103"/>
      <c r="O512" s="37">
        <v>45882</v>
      </c>
      <c r="P512" s="41"/>
      <c r="Q512" s="41" t="s">
        <v>950</v>
      </c>
      <c r="R512" s="41"/>
      <c r="S512" s="41"/>
      <c r="T512" s="107">
        <v>12999</v>
      </c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0"/>
    </row>
    <row r="513" spans="1:31" x14ac:dyDescent="0.25">
      <c r="A513" s="41">
        <f t="shared" si="7"/>
        <v>512</v>
      </c>
      <c r="B513" s="41" t="s">
        <v>163</v>
      </c>
      <c r="C513" s="41" t="s">
        <v>824</v>
      </c>
      <c r="D513" s="42" t="s">
        <v>828</v>
      </c>
      <c r="E513" s="43" t="s">
        <v>166</v>
      </c>
      <c r="F513" s="43" t="s">
        <v>198</v>
      </c>
      <c r="G513" s="41" t="s">
        <v>272</v>
      </c>
      <c r="H513" s="41" t="s">
        <v>169</v>
      </c>
      <c r="I513" s="44" t="s">
        <v>826</v>
      </c>
      <c r="J513" s="41">
        <v>350</v>
      </c>
      <c r="K513" s="100">
        <v>0.85</v>
      </c>
      <c r="L513" s="51" t="s">
        <v>827</v>
      </c>
      <c r="M513" s="109">
        <v>0</v>
      </c>
      <c r="N513" s="103"/>
      <c r="O513" s="37">
        <v>45882</v>
      </c>
      <c r="P513" s="41"/>
      <c r="Q513" s="41"/>
      <c r="R513" s="41"/>
      <c r="S513" s="41"/>
      <c r="T513" s="102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0"/>
    </row>
    <row r="514" spans="1:31" hidden="1" x14ac:dyDescent="0.25">
      <c r="A514" s="41">
        <f t="shared" si="7"/>
        <v>513</v>
      </c>
      <c r="B514" s="41" t="s">
        <v>163</v>
      </c>
      <c r="C514" s="41" t="s">
        <v>824</v>
      </c>
      <c r="D514" s="42" t="s">
        <v>829</v>
      </c>
      <c r="E514" s="43" t="s">
        <v>171</v>
      </c>
      <c r="F514" s="43" t="s">
        <v>198</v>
      </c>
      <c r="G514" s="41" t="s">
        <v>272</v>
      </c>
      <c r="H514" s="41" t="s">
        <v>169</v>
      </c>
      <c r="I514" s="44">
        <v>70000</v>
      </c>
      <c r="J514" s="41">
        <v>1200</v>
      </c>
      <c r="K514" s="100">
        <v>0.3</v>
      </c>
      <c r="L514" s="51" t="s">
        <v>827</v>
      </c>
      <c r="M514" s="106">
        <v>800</v>
      </c>
      <c r="N514" s="103"/>
      <c r="O514" s="37">
        <v>45882</v>
      </c>
      <c r="P514" s="41"/>
      <c r="Q514" s="41"/>
      <c r="R514" s="41"/>
      <c r="T514" s="107">
        <v>8000</v>
      </c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0"/>
    </row>
    <row r="515" spans="1:31" hidden="1" x14ac:dyDescent="0.25">
      <c r="A515" s="41">
        <f t="shared" si="7"/>
        <v>514</v>
      </c>
      <c r="B515" s="41" t="s">
        <v>163</v>
      </c>
      <c r="C515" s="41" t="s">
        <v>824</v>
      </c>
      <c r="D515" s="42" t="s">
        <v>313</v>
      </c>
      <c r="E515" s="43" t="s">
        <v>166</v>
      </c>
      <c r="F515" s="43" t="s">
        <v>198</v>
      </c>
      <c r="G515" s="41" t="s">
        <v>272</v>
      </c>
      <c r="H515" s="41" t="s">
        <v>169</v>
      </c>
      <c r="I515" s="44">
        <v>40000</v>
      </c>
      <c r="J515" s="41">
        <v>1000</v>
      </c>
      <c r="K515" s="100">
        <v>0.4</v>
      </c>
      <c r="L515" s="51" t="s">
        <v>827</v>
      </c>
      <c r="M515" s="106">
        <v>1000</v>
      </c>
      <c r="N515" s="103"/>
      <c r="O515" s="37">
        <v>45882</v>
      </c>
      <c r="P515" s="41"/>
      <c r="Q515" s="41"/>
      <c r="R515" s="41"/>
      <c r="S515" s="41"/>
      <c r="T515" s="107">
        <v>8499</v>
      </c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0"/>
    </row>
    <row r="516" spans="1:31" x14ac:dyDescent="0.25">
      <c r="A516" s="41">
        <f t="shared" ref="A516:A527" si="8">A515+1</f>
        <v>515</v>
      </c>
      <c r="B516" s="41" t="s">
        <v>163</v>
      </c>
      <c r="C516" s="41" t="s">
        <v>824</v>
      </c>
      <c r="D516" s="42" t="s">
        <v>830</v>
      </c>
      <c r="E516" s="43" t="s">
        <v>227</v>
      </c>
      <c r="F516" s="43" t="s">
        <v>215</v>
      </c>
      <c r="G516" s="41" t="s">
        <v>347</v>
      </c>
      <c r="H516" s="41" t="s">
        <v>169</v>
      </c>
      <c r="I516" s="44">
        <v>5000</v>
      </c>
      <c r="J516" s="45">
        <v>40</v>
      </c>
      <c r="K516" s="100">
        <v>1</v>
      </c>
      <c r="L516" s="51" t="s">
        <v>827</v>
      </c>
      <c r="M516" s="109">
        <v>0</v>
      </c>
      <c r="N516" s="103"/>
      <c r="O516" s="37">
        <v>45882</v>
      </c>
      <c r="P516" s="41"/>
      <c r="Q516" s="41"/>
      <c r="R516" s="41"/>
      <c r="S516" s="41"/>
      <c r="T516" s="102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0"/>
    </row>
    <row r="517" spans="1:31" hidden="1" x14ac:dyDescent="0.25">
      <c r="A517" s="41">
        <f t="shared" si="8"/>
        <v>516</v>
      </c>
      <c r="B517" s="41" t="s">
        <v>163</v>
      </c>
      <c r="C517" s="41" t="s">
        <v>824</v>
      </c>
      <c r="D517" s="42" t="s">
        <v>956</v>
      </c>
      <c r="E517" s="43" t="s">
        <v>227</v>
      </c>
      <c r="F517" s="43" t="s">
        <v>215</v>
      </c>
      <c r="G517" s="41" t="s">
        <v>347</v>
      </c>
      <c r="H517" s="41" t="s">
        <v>169</v>
      </c>
      <c r="I517" s="44">
        <v>5000</v>
      </c>
      <c r="J517" s="45">
        <v>250</v>
      </c>
      <c r="K517" s="100">
        <v>0.5</v>
      </c>
      <c r="L517" s="51" t="s">
        <v>827</v>
      </c>
      <c r="M517" s="106">
        <v>250</v>
      </c>
      <c r="N517" s="103"/>
      <c r="O517" s="37">
        <v>45882</v>
      </c>
      <c r="P517" s="41"/>
      <c r="Q517" s="41" t="s">
        <v>957</v>
      </c>
      <c r="R517" s="41"/>
      <c r="S517" s="41"/>
      <c r="T517" s="107">
        <v>8499</v>
      </c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0"/>
    </row>
    <row r="518" spans="1:31" hidden="1" x14ac:dyDescent="0.25">
      <c r="A518" s="41">
        <f t="shared" si="8"/>
        <v>517</v>
      </c>
      <c r="B518" s="41" t="s">
        <v>163</v>
      </c>
      <c r="C518" s="41" t="s">
        <v>824</v>
      </c>
      <c r="D518" s="42" t="s">
        <v>831</v>
      </c>
      <c r="E518" s="43" t="s">
        <v>171</v>
      </c>
      <c r="F518" s="43" t="s">
        <v>167</v>
      </c>
      <c r="G518" s="41" t="s">
        <v>167</v>
      </c>
      <c r="H518" s="41" t="s">
        <v>169</v>
      </c>
      <c r="I518" s="44" t="s">
        <v>832</v>
      </c>
      <c r="J518" s="41">
        <v>2500</v>
      </c>
      <c r="K518" s="100">
        <v>0.7</v>
      </c>
      <c r="L518" s="51" t="s">
        <v>827</v>
      </c>
      <c r="M518" s="106">
        <v>1300</v>
      </c>
      <c r="N518" s="103"/>
      <c r="O518" s="37">
        <v>45882</v>
      </c>
      <c r="P518" s="41"/>
      <c r="Q518" s="41" t="s">
        <v>961</v>
      </c>
      <c r="R518" s="41"/>
      <c r="S518" s="41"/>
      <c r="T518" s="107">
        <v>8499</v>
      </c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0"/>
    </row>
    <row r="519" spans="1:31" hidden="1" x14ac:dyDescent="0.25">
      <c r="A519" s="41">
        <f t="shared" si="8"/>
        <v>518</v>
      </c>
      <c r="B519" s="41" t="s">
        <v>163</v>
      </c>
      <c r="C519" s="41" t="s">
        <v>824</v>
      </c>
      <c r="D519" s="42" t="s">
        <v>952</v>
      </c>
      <c r="E519" s="43" t="s">
        <v>227</v>
      </c>
      <c r="F519" s="43" t="s">
        <v>181</v>
      </c>
      <c r="G519" s="41" t="s">
        <v>184</v>
      </c>
      <c r="H519" s="41" t="s">
        <v>169</v>
      </c>
      <c r="I519" s="44">
        <v>70000</v>
      </c>
      <c r="J519" s="45">
        <v>1000</v>
      </c>
      <c r="K519" s="100">
        <v>0.5</v>
      </c>
      <c r="L519" s="51" t="s">
        <v>827</v>
      </c>
      <c r="M519" s="106">
        <v>650</v>
      </c>
      <c r="N519" s="103"/>
      <c r="O519" s="37">
        <v>45882</v>
      </c>
      <c r="P519" s="41"/>
      <c r="Q519" s="41" t="s">
        <v>955</v>
      </c>
      <c r="R519" s="41"/>
      <c r="S519" s="41"/>
      <c r="T519" s="107">
        <v>7499</v>
      </c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0"/>
    </row>
    <row r="520" spans="1:31" hidden="1" x14ac:dyDescent="0.25">
      <c r="A520" s="41">
        <f t="shared" si="8"/>
        <v>519</v>
      </c>
      <c r="B520" s="41" t="s">
        <v>163</v>
      </c>
      <c r="C520" s="41" t="s">
        <v>824</v>
      </c>
      <c r="D520" s="42" t="s">
        <v>953</v>
      </c>
      <c r="E520" s="43" t="s">
        <v>171</v>
      </c>
      <c r="F520" s="43" t="s">
        <v>181</v>
      </c>
      <c r="G520" s="41" t="s">
        <v>184</v>
      </c>
      <c r="H520" s="41" t="s">
        <v>169</v>
      </c>
      <c r="I520" s="44">
        <v>36000</v>
      </c>
      <c r="J520" s="45">
        <v>600</v>
      </c>
      <c r="K520" s="100">
        <v>0.3</v>
      </c>
      <c r="L520" s="51" t="s">
        <v>827</v>
      </c>
      <c r="M520" s="106">
        <v>600</v>
      </c>
      <c r="N520" s="103"/>
      <c r="O520" s="37">
        <v>45882</v>
      </c>
      <c r="P520" s="41"/>
      <c r="Q520" s="41" t="s">
        <v>954</v>
      </c>
      <c r="R520" s="41"/>
      <c r="S520" s="41"/>
      <c r="T520" s="107">
        <v>9999</v>
      </c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0"/>
    </row>
    <row r="521" spans="1:31" hidden="1" x14ac:dyDescent="0.25">
      <c r="A521" s="41">
        <f t="shared" si="8"/>
        <v>520</v>
      </c>
      <c r="B521" s="41" t="s">
        <v>163</v>
      </c>
      <c r="C521" s="41" t="s">
        <v>824</v>
      </c>
      <c r="D521" s="42" t="s">
        <v>963</v>
      </c>
      <c r="E521" s="43" t="s">
        <v>227</v>
      </c>
      <c r="F521" s="41" t="s">
        <v>172</v>
      </c>
      <c r="G521" s="41" t="s">
        <v>705</v>
      </c>
      <c r="H521" s="41" t="s">
        <v>169</v>
      </c>
      <c r="I521" s="44">
        <v>20000</v>
      </c>
      <c r="J521" s="41">
        <v>360</v>
      </c>
      <c r="K521" s="100">
        <v>0.7</v>
      </c>
      <c r="L521" s="51" t="s">
        <v>827</v>
      </c>
      <c r="M521" s="106">
        <v>150</v>
      </c>
      <c r="N521" s="103"/>
      <c r="O521" s="37">
        <v>45882</v>
      </c>
      <c r="P521" s="41"/>
      <c r="Q521" s="41" t="s">
        <v>850</v>
      </c>
      <c r="R521" s="41"/>
      <c r="S521" s="41"/>
      <c r="T521" s="107">
        <v>6499</v>
      </c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0"/>
    </row>
    <row r="522" spans="1:31" hidden="1" x14ac:dyDescent="0.25">
      <c r="A522" s="41">
        <f t="shared" si="8"/>
        <v>521</v>
      </c>
      <c r="B522" s="41" t="s">
        <v>163</v>
      </c>
      <c r="C522" s="41" t="s">
        <v>824</v>
      </c>
      <c r="D522" s="42" t="s">
        <v>962</v>
      </c>
      <c r="E522" s="43" t="s">
        <v>227</v>
      </c>
      <c r="F522" s="41" t="s">
        <v>172</v>
      </c>
      <c r="G522" s="41" t="s">
        <v>705</v>
      </c>
      <c r="H522" s="41" t="s">
        <v>169</v>
      </c>
      <c r="I522" s="44">
        <v>20000</v>
      </c>
      <c r="J522" s="41">
        <v>400</v>
      </c>
      <c r="K522" s="100">
        <v>0.8</v>
      </c>
      <c r="L522" s="51" t="s">
        <v>827</v>
      </c>
      <c r="M522" s="106">
        <v>60</v>
      </c>
      <c r="N522" s="103"/>
      <c r="O522" s="37">
        <v>45882</v>
      </c>
      <c r="P522" s="41"/>
      <c r="Q522" s="101"/>
      <c r="R522" s="41"/>
      <c r="S522" s="41"/>
      <c r="T522" s="107">
        <v>6499</v>
      </c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0"/>
    </row>
    <row r="523" spans="1:31" x14ac:dyDescent="0.25">
      <c r="A523" s="41">
        <f t="shared" si="8"/>
        <v>522</v>
      </c>
      <c r="B523" s="41" t="s">
        <v>163</v>
      </c>
      <c r="C523" s="41" t="s">
        <v>824</v>
      </c>
      <c r="D523" s="42" t="s">
        <v>833</v>
      </c>
      <c r="E523" s="43" t="s">
        <v>227</v>
      </c>
      <c r="F523" s="41" t="s">
        <v>172</v>
      </c>
      <c r="G523" s="41" t="s">
        <v>705</v>
      </c>
      <c r="H523" s="41" t="s">
        <v>169</v>
      </c>
      <c r="I523" s="44">
        <v>1500</v>
      </c>
      <c r="J523" s="41">
        <v>400</v>
      </c>
      <c r="K523" s="100">
        <v>0.9</v>
      </c>
      <c r="L523" s="51" t="s">
        <v>827</v>
      </c>
      <c r="M523" s="109">
        <v>0</v>
      </c>
      <c r="N523" s="103"/>
      <c r="O523" s="37">
        <v>45882</v>
      </c>
      <c r="P523" s="41"/>
      <c r="Q523" s="41"/>
      <c r="R523" s="41"/>
      <c r="S523" s="41"/>
      <c r="T523" s="102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0"/>
    </row>
    <row r="524" spans="1:31" x14ac:dyDescent="0.25">
      <c r="A524" s="41">
        <f t="shared" si="8"/>
        <v>523</v>
      </c>
      <c r="B524" s="41" t="s">
        <v>163</v>
      </c>
      <c r="C524" s="41" t="s">
        <v>824</v>
      </c>
      <c r="D524" s="42" t="s">
        <v>834</v>
      </c>
      <c r="E524" s="43" t="s">
        <v>227</v>
      </c>
      <c r="F524" s="41" t="s">
        <v>172</v>
      </c>
      <c r="G524" s="41" t="s">
        <v>705</v>
      </c>
      <c r="H524" s="41" t="s">
        <v>169</v>
      </c>
      <c r="I524" s="44">
        <v>5000</v>
      </c>
      <c r="J524" s="41">
        <v>150</v>
      </c>
      <c r="K524" s="100">
        <v>1</v>
      </c>
      <c r="L524" s="51" t="s">
        <v>827</v>
      </c>
      <c r="M524" s="109">
        <v>0</v>
      </c>
      <c r="N524" s="103"/>
      <c r="O524" s="37">
        <v>45882</v>
      </c>
      <c r="P524" s="41"/>
      <c r="Q524" s="41"/>
      <c r="R524" s="41"/>
      <c r="S524" s="41"/>
      <c r="T524" s="102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0"/>
    </row>
    <row r="525" spans="1:31" x14ac:dyDescent="0.25">
      <c r="A525" s="41">
        <f t="shared" si="8"/>
        <v>524</v>
      </c>
      <c r="B525" s="41" t="s">
        <v>163</v>
      </c>
      <c r="C525" s="41" t="s">
        <v>824</v>
      </c>
      <c r="D525" s="42" t="s">
        <v>835</v>
      </c>
      <c r="E525" s="43" t="s">
        <v>171</v>
      </c>
      <c r="F525" s="43" t="s">
        <v>176</v>
      </c>
      <c r="G525" s="41" t="s">
        <v>176</v>
      </c>
      <c r="H525" s="41" t="s">
        <v>248</v>
      </c>
      <c r="I525" s="44">
        <v>40000</v>
      </c>
      <c r="J525" s="41">
        <v>1000</v>
      </c>
      <c r="K525" s="100">
        <v>1</v>
      </c>
      <c r="L525" s="51" t="s">
        <v>827</v>
      </c>
      <c r="M525" s="109">
        <v>0</v>
      </c>
      <c r="N525" s="103"/>
      <c r="O525" s="37">
        <v>45882</v>
      </c>
      <c r="P525" s="41"/>
      <c r="Q525" s="41"/>
      <c r="R525" s="41"/>
      <c r="S525" s="41"/>
      <c r="T525" s="102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0"/>
    </row>
    <row r="526" spans="1:31" hidden="1" x14ac:dyDescent="0.25">
      <c r="A526" s="41">
        <f t="shared" si="8"/>
        <v>525</v>
      </c>
      <c r="B526" s="41" t="s">
        <v>163</v>
      </c>
      <c r="C526" s="41" t="s">
        <v>824</v>
      </c>
      <c r="D526" s="42" t="s">
        <v>960</v>
      </c>
      <c r="E526" s="43" t="s">
        <v>171</v>
      </c>
      <c r="F526" s="43" t="s">
        <v>176</v>
      </c>
      <c r="G526" s="41" t="s">
        <v>958</v>
      </c>
      <c r="H526" s="41" t="s">
        <v>169</v>
      </c>
      <c r="I526" s="44">
        <v>25000</v>
      </c>
      <c r="J526" s="41">
        <v>450</v>
      </c>
      <c r="K526" s="100">
        <v>0.85</v>
      </c>
      <c r="L526" s="51" t="s">
        <v>827</v>
      </c>
      <c r="M526" s="106">
        <v>700</v>
      </c>
      <c r="N526" s="41"/>
      <c r="O526" s="37">
        <v>45882</v>
      </c>
      <c r="P526" s="41"/>
      <c r="Q526" s="41" t="s">
        <v>959</v>
      </c>
      <c r="R526" s="41"/>
      <c r="S526" s="41"/>
      <c r="T526" s="107">
        <v>9999</v>
      </c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0"/>
    </row>
    <row r="527" spans="1:31" hidden="1" x14ac:dyDescent="0.25">
      <c r="A527" s="41">
        <f t="shared" si="8"/>
        <v>526</v>
      </c>
      <c r="B527" s="41" t="s">
        <v>163</v>
      </c>
      <c r="C527" s="41" t="s">
        <v>824</v>
      </c>
      <c r="D527" s="42" t="s">
        <v>951</v>
      </c>
      <c r="E527" s="43" t="s">
        <v>171</v>
      </c>
      <c r="F527" s="43" t="s">
        <v>198</v>
      </c>
      <c r="G527" s="41" t="s">
        <v>272</v>
      </c>
      <c r="H527" s="41" t="s">
        <v>169</v>
      </c>
      <c r="I527" s="44"/>
      <c r="J527" s="41">
        <v>500</v>
      </c>
      <c r="K527" s="100"/>
      <c r="L527" s="51"/>
      <c r="M527" s="106">
        <v>500</v>
      </c>
      <c r="N527" s="41"/>
      <c r="O527" s="37">
        <v>45882</v>
      </c>
      <c r="P527" s="41"/>
      <c r="Q527" s="41"/>
      <c r="R527" s="41"/>
      <c r="S527" s="41"/>
      <c r="T527" s="107">
        <v>10000</v>
      </c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0"/>
    </row>
    <row r="528" spans="1:31" hidden="1" x14ac:dyDescent="0.25"/>
    <row r="529" hidden="1" x14ac:dyDescent="0.25"/>
    <row r="530" hidden="1" x14ac:dyDescent="0.25"/>
    <row r="531" hidden="1" x14ac:dyDescent="0.25"/>
    <row r="532" hidden="1" x14ac:dyDescent="0.25"/>
  </sheetData>
  <autoFilter ref="A1:AE532" xr:uid="{DFAC3A32-FC79-4ECD-9FE2-5DEF9B01DB0D}">
    <filterColumn colId="12">
      <filters>
        <filter val="0"/>
        <filter val="4"/>
        <filter val="5"/>
        <filter val="7"/>
        <filter val="8"/>
      </filters>
    </filterColumn>
  </autoFilter>
  <phoneticPr fontId="12" type="noConversion"/>
  <dataValidations count="2">
    <dataValidation type="list" allowBlank="1" showInputMessage="1" showErrorMessage="1" sqref="E261:E262 E267:E295 E226:E240 E242 E252:E256 E258:E259 E364:E374 E358 E376:E380 E382:E434 E460:E472 E517 E347:E354 E151:E159 E164:E224 E2:E42 E44:E149 E297:E345" xr:uid="{73FFB246-23A7-4613-A358-0E3384C9BDD7}">
      <formula1>"A,B,C,-"</formula1>
    </dataValidation>
    <dataValidation type="list" allowBlank="1" showInputMessage="1" showErrorMessage="1" sqref="H460:H472 H162:H295 H2:H42 H346:H434 H44:H159 H299:H344" xr:uid="{2A772BC0-8D27-43DA-9845-4D5D56ABF22F}">
      <formula1>"B2B,Speculative"</formula1>
    </dataValidation>
  </dataValidations>
  <hyperlinks>
    <hyperlink ref="AE165" r:id="rId1" xr:uid="{DDAF1778-E825-4337-AF5A-56D886CED5C1}"/>
    <hyperlink ref="AE56" r:id="rId2" display="../../../../../:f:/g/personal/arjun_s_cushwake_com/EsWML0MkCa1FjWXtVgQMGukB1AAeri75DEpsqfQAKTKMWA?e=82MD86" xr:uid="{4B5913CA-3610-446B-8345-4F05661C4C9A}"/>
    <hyperlink ref="AE456" r:id="rId3" xr:uid="{40FA29F8-2880-4DD9-805C-596E49FAD8FD}"/>
    <hyperlink ref="AE276" r:id="rId4" xr:uid="{DF1B1D0C-8339-4DE0-8F08-0BB598E68CB8}"/>
    <hyperlink ref="AE387" r:id="rId5" xr:uid="{B122A41B-BAD5-47AC-A0E0-DBCB5C3DFE61}"/>
    <hyperlink ref="AE388" r:id="rId6" display="https://cushwake1-my.sharepoint.com/:f:/g/personal/arjun_s_cushwake_com/EkvY65HAFVZBtAg7-VS00swB6bbOzkdMcYfYpEUGKV3Drw?e=2ObIpY" xr:uid="{FD1702D1-9BA9-4C00-B65E-D9E0C0D48AE0}"/>
    <hyperlink ref="AE72" r:id="rId7" display="https://cushwake1-my.sharepoint.com/:f:/g/personal/arjun_s_cushwake_com/ElLpB0e3MU9Ok16xbqaMBGgBcsqAMCh8YuWWWf9Dy-ZIiQ?e=IhOoTe" xr:uid="{DD00B0EC-EFF2-451E-8845-0C1616084DA3}"/>
    <hyperlink ref="AE77" r:id="rId8" display="https://cushwake1-my.sharepoint.com/:f:/g/personal/arjun_s_cushwake_com/ElLpB0e3MU9Ok16xbqaMBGgBcsqAMCh8YuWWWf9Dy-ZIiQ?e=IhOoTe" xr:uid="{C8B2097E-FA01-4793-8C11-620E9BE50FF6}"/>
    <hyperlink ref="AE81" r:id="rId9" display="https://cushwake1-my.sharepoint.com/:f:/g/personal/arjun_s_cushwake_com/ElLpB0e3MU9Ok16xbqaMBGgBcsqAMCh8YuWWWf9Dy-ZIiQ?e=IhOoTe" xr:uid="{3D59733C-5D4A-4331-B55F-3E698CDD1B79}"/>
    <hyperlink ref="AE129" r:id="rId10" display="https://cushwake1-my.sharepoint.com/:f:/g/personal/arjun_s_cushwake_com/EiO6wJ9SlSVDp12vYvp44TcBnwhI6hDAQBRzsji9CiHNKg?e=BhLX0S" xr:uid="{C68CC67C-F7D5-4709-A832-6604A0CB3EF7}"/>
    <hyperlink ref="AE130" r:id="rId11" display="https://cushwake1-my.sharepoint.com/:f:/g/personal/arjun_s_cushwake_com/EiO6wJ9SlSVDp12vYvp44TcBnwhI6hDAQBRzsji9CiHNKg?e=BhLX0S" xr:uid="{0E3668F5-70D7-4CC1-A7C1-B26920766A75}"/>
    <hyperlink ref="AE106" r:id="rId12" xr:uid="{C87F54E6-1589-4DF0-9593-A94FDDD3BCD9}"/>
    <hyperlink ref="AE385" r:id="rId13" xr:uid="{F0B388AD-D492-4CFC-A7DC-21139C3ABA64}"/>
    <hyperlink ref="AE386" r:id="rId14" display="https://cushwake1-my.sharepoint.com/:f:/g/personal/arjun_s_cushwake_com/Em-4hld3edRGp_GIqXesAeQB6SIDzW6B9KxXNGXnWUZ2Pw?e=ihf0Sf" xr:uid="{614CB7A5-1639-4F83-918B-CBDC62ED5433}"/>
    <hyperlink ref="AE113" r:id="rId15" xr:uid="{E19CF2E0-D4C2-4EF6-B0B7-C78C20941D59}"/>
    <hyperlink ref="AE272" r:id="rId16" xr:uid="{52AFB521-CFFC-472E-9F9E-B669D4FEDE09}"/>
    <hyperlink ref="AE453" r:id="rId17" xr:uid="{0C4D0604-B4FB-440D-8568-0B6972234E0B}"/>
  </hyperlinks>
  <pageMargins left="0.7" right="0.7" top="0.75" bottom="0.75" header="0.3" footer="0.3"/>
  <pageSetup orientation="portrait" horizontalDpi="1200" verticalDpi="1200"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1A265-961C-47E1-A7DA-85A5BFFAFDEA}">
  <dimension ref="B2:G83"/>
  <sheetViews>
    <sheetView topLeftCell="A53" zoomScale="79" workbookViewId="0">
      <selection activeCell="C63" sqref="C63"/>
    </sheetView>
  </sheetViews>
  <sheetFormatPr defaultRowHeight="15" x14ac:dyDescent="0.25"/>
  <cols>
    <col min="2" max="2" width="17.140625" customWidth="1"/>
    <col min="3" max="3" width="54.7109375" customWidth="1"/>
    <col min="4" max="4" width="22.5703125" style="35" customWidth="1"/>
    <col min="5" max="5" width="32.5703125" customWidth="1"/>
    <col min="6" max="6" width="48.42578125" bestFit="1" customWidth="1"/>
  </cols>
  <sheetData>
    <row r="2" spans="2:7" ht="15.75" x14ac:dyDescent="0.25">
      <c r="B2" s="1">
        <v>1</v>
      </c>
      <c r="C2" s="2" t="s">
        <v>0</v>
      </c>
      <c r="D2" s="3"/>
      <c r="E2" s="3"/>
    </row>
    <row r="3" spans="2:7" ht="31.5" x14ac:dyDescent="0.25">
      <c r="B3" s="4" t="s">
        <v>1</v>
      </c>
      <c r="C3" s="2" t="s">
        <v>2</v>
      </c>
      <c r="D3" s="3"/>
      <c r="E3" s="3"/>
    </row>
    <row r="4" spans="2:7" ht="15.75" x14ac:dyDescent="0.25">
      <c r="B4" s="5" t="s">
        <v>3</v>
      </c>
      <c r="C4" s="2" t="s">
        <v>4</v>
      </c>
      <c r="D4" s="3"/>
      <c r="E4" s="3"/>
    </row>
    <row r="5" spans="2:7" ht="15.75" x14ac:dyDescent="0.25">
      <c r="B5" s="6">
        <v>3</v>
      </c>
      <c r="C5" s="2" t="s">
        <v>5</v>
      </c>
      <c r="D5" s="3"/>
      <c r="E5" s="3"/>
    </row>
    <row r="6" spans="2:7" ht="15.75" x14ac:dyDescent="0.25">
      <c r="B6" s="7" t="s">
        <v>6</v>
      </c>
      <c r="C6" s="2" t="s">
        <v>7</v>
      </c>
      <c r="D6" s="3"/>
      <c r="E6" s="8" t="s">
        <v>8</v>
      </c>
      <c r="F6" s="8" t="s">
        <v>9</v>
      </c>
    </row>
    <row r="7" spans="2:7" ht="15.75" x14ac:dyDescent="0.25">
      <c r="B7" s="3"/>
      <c r="C7" s="9"/>
      <c r="D7" s="3"/>
      <c r="E7" s="3"/>
    </row>
    <row r="8" spans="2:7" ht="18.75" x14ac:dyDescent="0.3">
      <c r="B8" s="10" t="s">
        <v>10</v>
      </c>
      <c r="C8" s="11" t="s">
        <v>11</v>
      </c>
      <c r="D8" s="10" t="s">
        <v>12</v>
      </c>
      <c r="E8" s="10"/>
      <c r="F8" s="12"/>
      <c r="G8" s="48" t="s">
        <v>843</v>
      </c>
    </row>
    <row r="9" spans="2:7" ht="18.75" x14ac:dyDescent="0.3">
      <c r="B9" s="11"/>
      <c r="C9" s="11" t="s">
        <v>13</v>
      </c>
      <c r="D9" s="13">
        <v>1</v>
      </c>
      <c r="E9" s="10" t="s">
        <v>14</v>
      </c>
      <c r="F9" s="12"/>
    </row>
    <row r="10" spans="2:7" ht="18.75" x14ac:dyDescent="0.3">
      <c r="B10" s="11"/>
      <c r="C10" s="11" t="s">
        <v>15</v>
      </c>
      <c r="D10" s="13">
        <v>1</v>
      </c>
      <c r="E10" s="10" t="s">
        <v>14</v>
      </c>
      <c r="F10" s="12"/>
    </row>
    <row r="11" spans="2:7" ht="18.75" x14ac:dyDescent="0.3">
      <c r="B11" s="11"/>
      <c r="C11" s="11" t="s">
        <v>16</v>
      </c>
      <c r="D11" s="14">
        <v>1</v>
      </c>
      <c r="E11" s="10" t="s">
        <v>17</v>
      </c>
      <c r="F11" s="12"/>
    </row>
    <row r="12" spans="2:7" ht="18.75" x14ac:dyDescent="0.3">
      <c r="B12" s="11"/>
      <c r="C12" s="11" t="s">
        <v>18</v>
      </c>
      <c r="D12" s="15">
        <v>1</v>
      </c>
      <c r="E12" s="10" t="s">
        <v>14</v>
      </c>
      <c r="F12" s="12"/>
    </row>
    <row r="13" spans="2:7" ht="18.75" x14ac:dyDescent="0.3">
      <c r="B13" s="11"/>
      <c r="C13" s="11" t="s">
        <v>19</v>
      </c>
      <c r="D13" s="13">
        <v>1</v>
      </c>
      <c r="E13" s="10" t="s">
        <v>20</v>
      </c>
      <c r="F13" s="12" t="s">
        <v>21</v>
      </c>
    </row>
    <row r="14" spans="2:7" ht="18.75" x14ac:dyDescent="0.3">
      <c r="B14" s="11"/>
      <c r="C14" s="11" t="s">
        <v>22</v>
      </c>
      <c r="D14" s="1">
        <v>1</v>
      </c>
      <c r="E14" s="10" t="s">
        <v>23</v>
      </c>
      <c r="F14" s="12" t="s">
        <v>24</v>
      </c>
    </row>
    <row r="15" spans="2:7" ht="18.75" x14ac:dyDescent="0.3">
      <c r="B15" s="11"/>
      <c r="C15" s="11" t="s">
        <v>25</v>
      </c>
      <c r="D15" s="13">
        <v>1</v>
      </c>
      <c r="E15" s="10" t="s">
        <v>26</v>
      </c>
      <c r="F15" s="12" t="s">
        <v>27</v>
      </c>
    </row>
    <row r="16" spans="2:7" ht="18.75" x14ac:dyDescent="0.3">
      <c r="B16" s="11"/>
      <c r="C16" s="11" t="s">
        <v>28</v>
      </c>
      <c r="D16" s="13">
        <v>1</v>
      </c>
      <c r="E16" s="10" t="s">
        <v>29</v>
      </c>
      <c r="F16" s="12" t="s">
        <v>30</v>
      </c>
    </row>
    <row r="17" spans="2:6" ht="18.75" x14ac:dyDescent="0.3">
      <c r="B17" s="11"/>
      <c r="C17" s="11" t="s">
        <v>31</v>
      </c>
      <c r="D17" s="13">
        <v>1</v>
      </c>
      <c r="E17" s="10" t="s">
        <v>32</v>
      </c>
      <c r="F17" s="12" t="s">
        <v>33</v>
      </c>
    </row>
    <row r="18" spans="2:6" ht="18.75" x14ac:dyDescent="0.3">
      <c r="B18" s="11"/>
      <c r="C18" s="11" t="s">
        <v>34</v>
      </c>
      <c r="D18" s="16">
        <v>1</v>
      </c>
      <c r="E18" s="10" t="s">
        <v>35</v>
      </c>
      <c r="F18" s="12" t="s">
        <v>36</v>
      </c>
    </row>
    <row r="19" spans="2:6" ht="18.75" x14ac:dyDescent="0.3">
      <c r="B19" s="11"/>
      <c r="C19" s="11" t="s">
        <v>37</v>
      </c>
      <c r="D19" s="13">
        <v>1</v>
      </c>
      <c r="E19" s="10" t="s">
        <v>38</v>
      </c>
      <c r="F19" s="12" t="s">
        <v>39</v>
      </c>
    </row>
    <row r="20" spans="2:6" ht="18.75" x14ac:dyDescent="0.3">
      <c r="B20" s="11"/>
      <c r="C20" s="11" t="s">
        <v>40</v>
      </c>
      <c r="D20" s="16">
        <v>1</v>
      </c>
      <c r="E20" s="10" t="s">
        <v>41</v>
      </c>
      <c r="F20" s="12" t="s">
        <v>42</v>
      </c>
    </row>
    <row r="21" spans="2:6" ht="18.75" x14ac:dyDescent="0.3">
      <c r="B21" s="11"/>
      <c r="C21" s="11" t="s">
        <v>43</v>
      </c>
      <c r="D21" s="13">
        <v>1</v>
      </c>
      <c r="E21" s="10" t="s">
        <v>44</v>
      </c>
      <c r="F21" s="17" t="s">
        <v>36</v>
      </c>
    </row>
    <row r="22" spans="2:6" ht="18.75" x14ac:dyDescent="0.3">
      <c r="B22" s="11"/>
      <c r="C22" s="11" t="s">
        <v>45</v>
      </c>
      <c r="D22" s="14">
        <v>1</v>
      </c>
      <c r="E22" s="10" t="s">
        <v>46</v>
      </c>
      <c r="F22" s="12" t="s">
        <v>47</v>
      </c>
    </row>
    <row r="23" spans="2:6" ht="18.75" x14ac:dyDescent="0.3">
      <c r="B23" s="11"/>
      <c r="C23" s="11" t="s">
        <v>48</v>
      </c>
      <c r="D23" s="15">
        <v>1</v>
      </c>
      <c r="E23" s="10" t="s">
        <v>35</v>
      </c>
      <c r="F23" s="12" t="s">
        <v>27</v>
      </c>
    </row>
    <row r="24" spans="2:6" ht="18.75" x14ac:dyDescent="0.3">
      <c r="B24" s="11"/>
      <c r="C24" s="11" t="s">
        <v>49</v>
      </c>
      <c r="D24" s="1">
        <v>1</v>
      </c>
      <c r="E24" s="10" t="s">
        <v>17</v>
      </c>
      <c r="F24" s="12" t="s">
        <v>21</v>
      </c>
    </row>
    <row r="25" spans="2:6" ht="18.75" x14ac:dyDescent="0.3">
      <c r="B25" s="18"/>
      <c r="C25" s="11" t="s">
        <v>50</v>
      </c>
      <c r="D25" s="19">
        <v>3</v>
      </c>
      <c r="E25" s="10" t="s">
        <v>14</v>
      </c>
      <c r="F25" s="12"/>
    </row>
    <row r="26" spans="2:6" ht="18.75" x14ac:dyDescent="0.3">
      <c r="B26" s="11"/>
      <c r="C26" s="11" t="s">
        <v>51</v>
      </c>
      <c r="D26" s="19">
        <v>3</v>
      </c>
      <c r="E26" s="10" t="s">
        <v>14</v>
      </c>
      <c r="F26" s="12"/>
    </row>
    <row r="27" spans="2:6" ht="18.75" x14ac:dyDescent="0.3">
      <c r="B27" s="11"/>
      <c r="C27" s="11" t="s">
        <v>52</v>
      </c>
      <c r="D27" s="19">
        <v>3</v>
      </c>
      <c r="E27" s="10" t="s">
        <v>14</v>
      </c>
      <c r="F27" s="12"/>
    </row>
    <row r="28" spans="2:6" ht="18.75" x14ac:dyDescent="0.3">
      <c r="B28" s="11"/>
      <c r="C28" s="11" t="s">
        <v>53</v>
      </c>
      <c r="D28" s="19">
        <v>3</v>
      </c>
      <c r="E28" s="10" t="s">
        <v>14</v>
      </c>
      <c r="F28" s="12"/>
    </row>
    <row r="29" spans="2:6" ht="18.75" x14ac:dyDescent="0.3">
      <c r="B29" s="11"/>
      <c r="C29" s="11" t="s">
        <v>54</v>
      </c>
      <c r="D29" s="20">
        <v>3</v>
      </c>
      <c r="E29" s="10" t="s">
        <v>14</v>
      </c>
      <c r="F29" s="12"/>
    </row>
    <row r="30" spans="2:6" ht="18.75" x14ac:dyDescent="0.3">
      <c r="B30" s="11"/>
      <c r="C30" s="11" t="s">
        <v>55</v>
      </c>
      <c r="D30" s="6">
        <v>3</v>
      </c>
      <c r="E30" s="10" t="s">
        <v>56</v>
      </c>
      <c r="F30" s="12"/>
    </row>
    <row r="31" spans="2:6" ht="18.75" x14ac:dyDescent="0.3">
      <c r="B31" s="11"/>
      <c r="C31" s="11" t="s">
        <v>57</v>
      </c>
      <c r="D31" s="19">
        <v>3</v>
      </c>
      <c r="E31" s="10" t="s">
        <v>14</v>
      </c>
      <c r="F31" s="12"/>
    </row>
    <row r="32" spans="2:6" ht="18.75" x14ac:dyDescent="0.3">
      <c r="B32" s="11"/>
      <c r="C32" s="11" t="s">
        <v>58</v>
      </c>
      <c r="D32" s="19">
        <v>3</v>
      </c>
      <c r="E32" s="10" t="s">
        <v>14</v>
      </c>
      <c r="F32" s="12"/>
    </row>
    <row r="33" spans="2:6" ht="18.75" x14ac:dyDescent="0.3">
      <c r="B33" s="11"/>
      <c r="C33" s="11" t="s">
        <v>59</v>
      </c>
      <c r="D33" s="19">
        <v>3</v>
      </c>
      <c r="E33" s="10" t="s">
        <v>14</v>
      </c>
      <c r="F33" s="12"/>
    </row>
    <row r="34" spans="2:6" ht="18.75" x14ac:dyDescent="0.3">
      <c r="B34" s="11"/>
      <c r="C34" s="11" t="s">
        <v>60</v>
      </c>
      <c r="D34" s="20">
        <v>3</v>
      </c>
      <c r="E34" s="10" t="s">
        <v>61</v>
      </c>
      <c r="F34" s="12"/>
    </row>
    <row r="35" spans="2:6" ht="18.75" x14ac:dyDescent="0.3">
      <c r="B35" s="11"/>
      <c r="C35" s="11" t="s">
        <v>62</v>
      </c>
      <c r="D35" s="6">
        <v>3</v>
      </c>
      <c r="E35" s="10" t="s">
        <v>63</v>
      </c>
      <c r="F35" s="12"/>
    </row>
    <row r="36" spans="2:6" ht="18.75" x14ac:dyDescent="0.3">
      <c r="B36" s="11"/>
      <c r="C36" s="11" t="s">
        <v>64</v>
      </c>
      <c r="D36" s="19">
        <v>3</v>
      </c>
      <c r="E36" s="10" t="s">
        <v>65</v>
      </c>
      <c r="F36" s="12"/>
    </row>
    <row r="37" spans="2:6" ht="18.75" x14ac:dyDescent="0.3">
      <c r="B37" s="11"/>
      <c r="C37" s="11" t="s">
        <v>66</v>
      </c>
      <c r="D37" s="19">
        <v>3</v>
      </c>
      <c r="E37" s="10" t="s">
        <v>14</v>
      </c>
      <c r="F37" s="12"/>
    </row>
    <row r="38" spans="2:6" ht="18.75" x14ac:dyDescent="0.3">
      <c r="B38" s="11"/>
      <c r="C38" s="11" t="s">
        <v>67</v>
      </c>
      <c r="D38" s="19">
        <v>3</v>
      </c>
      <c r="E38" s="10" t="s">
        <v>68</v>
      </c>
      <c r="F38" s="12"/>
    </row>
    <row r="39" spans="2:6" ht="18.75" x14ac:dyDescent="0.3">
      <c r="B39" s="11"/>
      <c r="C39" s="11" t="s">
        <v>69</v>
      </c>
      <c r="D39" s="21" t="s">
        <v>1</v>
      </c>
      <c r="E39" s="10" t="s">
        <v>70</v>
      </c>
      <c r="F39" s="12" t="s">
        <v>71</v>
      </c>
    </row>
    <row r="40" spans="2:6" ht="18.75" x14ac:dyDescent="0.3">
      <c r="B40" s="11"/>
      <c r="C40" s="11" t="s">
        <v>72</v>
      </c>
      <c r="D40" s="21" t="s">
        <v>1</v>
      </c>
      <c r="E40" s="10" t="s">
        <v>73</v>
      </c>
      <c r="F40" s="12" t="s">
        <v>74</v>
      </c>
    </row>
    <row r="41" spans="2:6" ht="18.75" x14ac:dyDescent="0.3">
      <c r="B41" s="11"/>
      <c r="C41" s="11" t="s">
        <v>75</v>
      </c>
      <c r="D41" s="21" t="s">
        <v>1</v>
      </c>
      <c r="E41" s="10" t="s">
        <v>76</v>
      </c>
      <c r="F41" s="12" t="s">
        <v>77</v>
      </c>
    </row>
    <row r="42" spans="2:6" ht="18.75" x14ac:dyDescent="0.3">
      <c r="B42" s="11"/>
      <c r="C42" s="11" t="s">
        <v>78</v>
      </c>
      <c r="D42" s="4" t="s">
        <v>1</v>
      </c>
      <c r="E42" s="10" t="s">
        <v>17</v>
      </c>
      <c r="F42" s="12"/>
    </row>
    <row r="43" spans="2:6" ht="18.75" x14ac:dyDescent="0.3">
      <c r="B43" s="11"/>
      <c r="C43" s="11" t="s">
        <v>79</v>
      </c>
      <c r="D43" s="22" t="s">
        <v>1</v>
      </c>
      <c r="E43" s="10" t="s">
        <v>80</v>
      </c>
      <c r="F43" s="12" t="s">
        <v>81</v>
      </c>
    </row>
    <row r="44" spans="2:6" ht="18.75" x14ac:dyDescent="0.3">
      <c r="B44" s="11"/>
      <c r="C44" s="11" t="s">
        <v>82</v>
      </c>
      <c r="D44" s="4" t="s">
        <v>1</v>
      </c>
      <c r="E44" s="10" t="s">
        <v>83</v>
      </c>
      <c r="F44" s="12" t="s">
        <v>84</v>
      </c>
    </row>
    <row r="45" spans="2:6" ht="18.75" x14ac:dyDescent="0.3">
      <c r="B45" s="11"/>
      <c r="C45" s="11" t="s">
        <v>85</v>
      </c>
      <c r="D45" s="4" t="s">
        <v>1</v>
      </c>
      <c r="E45" s="10" t="s">
        <v>17</v>
      </c>
      <c r="F45" s="12"/>
    </row>
    <row r="46" spans="2:6" ht="18.75" x14ac:dyDescent="0.3">
      <c r="B46" s="11"/>
      <c r="C46" s="11" t="s">
        <v>86</v>
      </c>
      <c r="D46" s="4" t="s">
        <v>1</v>
      </c>
      <c r="E46" s="10" t="s">
        <v>87</v>
      </c>
      <c r="F46" s="12" t="s">
        <v>88</v>
      </c>
    </row>
    <row r="47" spans="2:6" ht="18.75" x14ac:dyDescent="0.3">
      <c r="B47" s="11"/>
      <c r="C47" s="11" t="s">
        <v>89</v>
      </c>
      <c r="D47" s="23" t="s">
        <v>1</v>
      </c>
      <c r="E47" s="10" t="s">
        <v>35</v>
      </c>
      <c r="F47" s="12" t="s">
        <v>90</v>
      </c>
    </row>
    <row r="48" spans="2:6" ht="18.75" x14ac:dyDescent="0.3">
      <c r="B48" s="11"/>
      <c r="C48" s="11" t="s">
        <v>91</v>
      </c>
      <c r="D48" s="21" t="s">
        <v>1</v>
      </c>
      <c r="E48" s="10" t="s">
        <v>92</v>
      </c>
      <c r="F48" s="12" t="s">
        <v>93</v>
      </c>
    </row>
    <row r="49" spans="2:6" ht="18.75" x14ac:dyDescent="0.3">
      <c r="B49" s="11"/>
      <c r="C49" s="11" t="s">
        <v>94</v>
      </c>
      <c r="D49" s="24" t="s">
        <v>1</v>
      </c>
      <c r="E49" s="10" t="s">
        <v>95</v>
      </c>
      <c r="F49" s="12" t="s">
        <v>96</v>
      </c>
    </row>
    <row r="50" spans="2:6" ht="18.75" x14ac:dyDescent="0.3">
      <c r="B50" s="11"/>
      <c r="C50" s="11" t="s">
        <v>97</v>
      </c>
      <c r="D50" s="5" t="s">
        <v>3</v>
      </c>
      <c r="E50" s="10" t="s">
        <v>98</v>
      </c>
      <c r="F50" s="12"/>
    </row>
    <row r="51" spans="2:6" ht="18.75" x14ac:dyDescent="0.3">
      <c r="B51" s="11"/>
      <c r="C51" s="11" t="s">
        <v>99</v>
      </c>
      <c r="D51" s="5" t="s">
        <v>3</v>
      </c>
      <c r="E51" s="10" t="s">
        <v>17</v>
      </c>
      <c r="F51" s="12"/>
    </row>
    <row r="52" spans="2:6" ht="18.75" x14ac:dyDescent="0.3">
      <c r="B52" s="11"/>
      <c r="C52" s="11" t="s">
        <v>100</v>
      </c>
      <c r="D52" s="5" t="s">
        <v>3</v>
      </c>
      <c r="E52" s="10" t="s">
        <v>35</v>
      </c>
      <c r="F52" s="12"/>
    </row>
    <row r="53" spans="2:6" ht="18.75" x14ac:dyDescent="0.3">
      <c r="B53" s="11"/>
      <c r="C53" s="11" t="s">
        <v>101</v>
      </c>
      <c r="D53" s="5" t="s">
        <v>3</v>
      </c>
      <c r="E53" s="10" t="s">
        <v>102</v>
      </c>
      <c r="F53" s="12" t="s">
        <v>103</v>
      </c>
    </row>
    <row r="54" spans="2:6" ht="18.75" x14ac:dyDescent="0.3">
      <c r="B54" s="11"/>
      <c r="C54" s="11" t="s">
        <v>104</v>
      </c>
      <c r="D54" s="5" t="s">
        <v>3</v>
      </c>
      <c r="E54" s="10" t="s">
        <v>63</v>
      </c>
      <c r="F54" s="12" t="s">
        <v>105</v>
      </c>
    </row>
    <row r="55" spans="2:6" ht="18.75" x14ac:dyDescent="0.3">
      <c r="B55" s="11"/>
      <c r="C55" s="11" t="s">
        <v>106</v>
      </c>
      <c r="D55" s="25" t="s">
        <v>3</v>
      </c>
      <c r="E55" s="10" t="s">
        <v>107</v>
      </c>
      <c r="F55" s="12"/>
    </row>
    <row r="56" spans="2:6" ht="18.75" x14ac:dyDescent="0.3">
      <c r="B56" s="11"/>
      <c r="C56" s="11" t="s">
        <v>108</v>
      </c>
      <c r="D56" s="5" t="s">
        <v>3</v>
      </c>
      <c r="E56" s="10" t="s">
        <v>26</v>
      </c>
      <c r="F56" s="12" t="s">
        <v>109</v>
      </c>
    </row>
    <row r="57" spans="2:6" ht="18.75" x14ac:dyDescent="0.3">
      <c r="B57" s="11"/>
      <c r="C57" s="11" t="s">
        <v>110</v>
      </c>
      <c r="D57" s="26" t="s">
        <v>3</v>
      </c>
      <c r="E57" s="10" t="s">
        <v>111</v>
      </c>
      <c r="F57" s="12"/>
    </row>
    <row r="58" spans="2:6" ht="18.75" x14ac:dyDescent="0.3">
      <c r="B58" s="11"/>
      <c r="C58" s="11" t="s">
        <v>112</v>
      </c>
      <c r="D58" s="26" t="s">
        <v>3</v>
      </c>
      <c r="E58" s="10" t="s">
        <v>107</v>
      </c>
      <c r="F58" s="12" t="s">
        <v>113</v>
      </c>
    </row>
    <row r="59" spans="2:6" ht="18.75" x14ac:dyDescent="0.3">
      <c r="B59" s="11"/>
      <c r="C59" s="11" t="s">
        <v>114</v>
      </c>
      <c r="D59" s="26" t="s">
        <v>3</v>
      </c>
      <c r="E59" s="10" t="s">
        <v>65</v>
      </c>
      <c r="F59" s="12"/>
    </row>
    <row r="60" spans="2:6" ht="18.75" x14ac:dyDescent="0.3">
      <c r="B60" s="11"/>
      <c r="C60" s="11" t="s">
        <v>115</v>
      </c>
      <c r="D60" s="27" t="s">
        <v>3</v>
      </c>
      <c r="E60" s="10" t="s">
        <v>102</v>
      </c>
      <c r="F60" s="12"/>
    </row>
    <row r="61" spans="2:6" ht="18.75" x14ac:dyDescent="0.3">
      <c r="B61" s="11"/>
      <c r="C61" s="11" t="s">
        <v>116</v>
      </c>
      <c r="D61" s="5" t="s">
        <v>3</v>
      </c>
      <c r="E61" s="10" t="s">
        <v>117</v>
      </c>
      <c r="F61" s="12" t="s">
        <v>113</v>
      </c>
    </row>
    <row r="62" spans="2:6" ht="18.75" x14ac:dyDescent="0.3">
      <c r="B62" s="11"/>
      <c r="C62" s="11" t="s">
        <v>118</v>
      </c>
      <c r="D62" s="28" t="s">
        <v>3</v>
      </c>
      <c r="E62" s="10" t="s">
        <v>98</v>
      </c>
      <c r="F62" s="12"/>
    </row>
    <row r="63" spans="2:6" ht="18.75" x14ac:dyDescent="0.3">
      <c r="B63" s="11"/>
      <c r="C63" s="11" t="s">
        <v>119</v>
      </c>
      <c r="D63" s="26" t="s">
        <v>3</v>
      </c>
      <c r="E63" s="10" t="s">
        <v>120</v>
      </c>
      <c r="F63" s="12"/>
    </row>
    <row r="64" spans="2:6" ht="18.75" x14ac:dyDescent="0.3">
      <c r="B64" s="11"/>
      <c r="C64" s="11" t="s">
        <v>121</v>
      </c>
      <c r="D64" s="7" t="s">
        <v>6</v>
      </c>
      <c r="E64" s="10" t="s">
        <v>83</v>
      </c>
      <c r="F64" s="12"/>
    </row>
    <row r="65" spans="2:6" ht="18.75" x14ac:dyDescent="0.3">
      <c r="B65" s="11"/>
      <c r="C65" s="11" t="s">
        <v>122</v>
      </c>
      <c r="D65" s="29" t="s">
        <v>6</v>
      </c>
      <c r="E65" s="10" t="s">
        <v>17</v>
      </c>
      <c r="F65" s="12"/>
    </row>
    <row r="66" spans="2:6" ht="18.75" x14ac:dyDescent="0.3">
      <c r="B66" s="11"/>
      <c r="C66" s="11" t="s">
        <v>123</v>
      </c>
      <c r="D66" s="30" t="s">
        <v>6</v>
      </c>
      <c r="E66" s="10" t="s">
        <v>124</v>
      </c>
      <c r="F66" s="12"/>
    </row>
    <row r="67" spans="2:6" ht="18.75" x14ac:dyDescent="0.3">
      <c r="B67" s="11"/>
      <c r="C67" s="11" t="s">
        <v>125</v>
      </c>
      <c r="D67" s="30" t="s">
        <v>6</v>
      </c>
      <c r="E67" s="10" t="s">
        <v>126</v>
      </c>
      <c r="F67" s="12"/>
    </row>
    <row r="68" spans="2:6" ht="18.75" x14ac:dyDescent="0.3">
      <c r="B68" s="11"/>
      <c r="C68" s="11" t="s">
        <v>127</v>
      </c>
      <c r="D68" s="30" t="s">
        <v>6</v>
      </c>
      <c r="E68" s="10" t="s">
        <v>128</v>
      </c>
      <c r="F68" s="12"/>
    </row>
    <row r="69" spans="2:6" ht="18.75" x14ac:dyDescent="0.3">
      <c r="B69" s="11"/>
      <c r="C69" s="11" t="s">
        <v>129</v>
      </c>
      <c r="D69" s="30" t="s">
        <v>6</v>
      </c>
      <c r="E69" s="10" t="s">
        <v>107</v>
      </c>
      <c r="F69" s="12"/>
    </row>
    <row r="70" spans="2:6" ht="18.75" x14ac:dyDescent="0.3">
      <c r="B70" s="11"/>
      <c r="C70" s="11" t="s">
        <v>130</v>
      </c>
      <c r="D70" s="30" t="s">
        <v>6</v>
      </c>
      <c r="E70" s="10" t="s">
        <v>124</v>
      </c>
      <c r="F70" s="12"/>
    </row>
    <row r="71" spans="2:6" ht="18.75" x14ac:dyDescent="0.3">
      <c r="B71" s="11"/>
      <c r="C71" s="11" t="s">
        <v>131</v>
      </c>
      <c r="D71" s="7" t="s">
        <v>6</v>
      </c>
      <c r="E71" s="10" t="s">
        <v>17</v>
      </c>
      <c r="F71" s="12"/>
    </row>
    <row r="72" spans="2:6" ht="18.75" x14ac:dyDescent="0.3">
      <c r="B72" s="11"/>
      <c r="C72" s="11" t="s">
        <v>132</v>
      </c>
      <c r="D72" s="31" t="s">
        <v>6</v>
      </c>
      <c r="E72" s="10" t="s">
        <v>133</v>
      </c>
      <c r="F72" s="12"/>
    </row>
    <row r="73" spans="2:6" ht="37.5" x14ac:dyDescent="0.3">
      <c r="B73" s="11"/>
      <c r="C73" s="11" t="s">
        <v>134</v>
      </c>
      <c r="D73" s="32" t="s">
        <v>6</v>
      </c>
      <c r="E73" s="10" t="s">
        <v>128</v>
      </c>
      <c r="F73" s="12"/>
    </row>
    <row r="74" spans="2:6" ht="18.75" x14ac:dyDescent="0.3">
      <c r="B74" s="11"/>
      <c r="C74" s="11" t="s">
        <v>135</v>
      </c>
      <c r="D74" s="30" t="s">
        <v>6</v>
      </c>
      <c r="E74" s="10" t="s">
        <v>136</v>
      </c>
      <c r="F74" s="12" t="s">
        <v>137</v>
      </c>
    </row>
    <row r="75" spans="2:6" ht="18.75" x14ac:dyDescent="0.3">
      <c r="B75" s="11"/>
      <c r="C75" s="11" t="s">
        <v>138</v>
      </c>
      <c r="D75" s="30" t="s">
        <v>6</v>
      </c>
      <c r="E75" s="10" t="s">
        <v>120</v>
      </c>
      <c r="F75" s="12"/>
    </row>
    <row r="76" spans="2:6" ht="18.75" x14ac:dyDescent="0.3">
      <c r="B76" s="11"/>
      <c r="C76" s="11" t="s">
        <v>139</v>
      </c>
      <c r="D76" s="30" t="s">
        <v>6</v>
      </c>
      <c r="E76" s="10" t="s">
        <v>124</v>
      </c>
      <c r="F76" s="12"/>
    </row>
    <row r="77" spans="2:6" ht="18.75" x14ac:dyDescent="0.3">
      <c r="B77" s="11"/>
      <c r="C77" s="11" t="s">
        <v>140</v>
      </c>
      <c r="D77" s="30" t="s">
        <v>6</v>
      </c>
      <c r="E77" s="10"/>
      <c r="F77" s="12" t="s">
        <v>141</v>
      </c>
    </row>
    <row r="78" spans="2:6" ht="18.75" x14ac:dyDescent="0.3">
      <c r="B78" s="11"/>
      <c r="C78" s="11" t="s">
        <v>142</v>
      </c>
      <c r="D78" s="30" t="s">
        <v>6</v>
      </c>
      <c r="E78" s="10"/>
      <c r="F78" s="12" t="s">
        <v>143</v>
      </c>
    </row>
    <row r="79" spans="2:6" ht="18.75" x14ac:dyDescent="0.3">
      <c r="B79" s="11"/>
      <c r="C79" s="11" t="s">
        <v>144</v>
      </c>
      <c r="D79" s="30" t="s">
        <v>6</v>
      </c>
      <c r="E79" s="10"/>
      <c r="F79" s="12"/>
    </row>
    <row r="80" spans="2:6" ht="18.75" x14ac:dyDescent="0.3">
      <c r="B80" s="33"/>
      <c r="C80" s="11" t="s">
        <v>145</v>
      </c>
      <c r="D80" s="26" t="s">
        <v>3</v>
      </c>
      <c r="E80" s="33"/>
      <c r="F80" s="12"/>
    </row>
    <row r="81" spans="2:6" ht="18.75" x14ac:dyDescent="0.3">
      <c r="B81" s="33"/>
      <c r="C81" s="11" t="s">
        <v>146</v>
      </c>
      <c r="D81" s="34" t="s">
        <v>147</v>
      </c>
      <c r="E81" s="33"/>
      <c r="F81" s="12"/>
    </row>
    <row r="82" spans="2:6" ht="18.75" x14ac:dyDescent="0.3">
      <c r="B82" s="33"/>
      <c r="C82" s="11" t="s">
        <v>148</v>
      </c>
      <c r="D82" s="26" t="s">
        <v>3</v>
      </c>
      <c r="E82" s="33"/>
      <c r="F82" s="12"/>
    </row>
    <row r="83" spans="2:6" ht="18.75" x14ac:dyDescent="0.3">
      <c r="B83" s="33"/>
      <c r="C83" s="11" t="s">
        <v>149</v>
      </c>
      <c r="D83" s="34" t="s">
        <v>150</v>
      </c>
      <c r="E83" s="33"/>
      <c r="F83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C29FA-E2E8-4053-96DF-7E1B21F5C7C8}">
  <dimension ref="A2:K77"/>
  <sheetViews>
    <sheetView zoomScale="80" workbookViewId="0">
      <selection sqref="A1:B1048576"/>
    </sheetView>
  </sheetViews>
  <sheetFormatPr defaultRowHeight="15" x14ac:dyDescent="0.25"/>
  <cols>
    <col min="1" max="1" width="11.85546875" style="60" customWidth="1"/>
    <col min="2" max="2" width="19.28515625" style="60" customWidth="1"/>
    <col min="3" max="3" width="10.42578125" style="60" bestFit="1" customWidth="1"/>
    <col min="4" max="4" width="26.140625" bestFit="1" customWidth="1"/>
    <col min="5" max="5" width="16.28515625" customWidth="1"/>
    <col min="6" max="6" width="25.5703125" customWidth="1"/>
    <col min="7" max="7" width="13.85546875" customWidth="1"/>
    <col min="8" max="8" width="14.7109375" customWidth="1"/>
    <col min="9" max="9" width="14.28515625" customWidth="1"/>
    <col min="10" max="10" width="24.85546875" bestFit="1" customWidth="1"/>
    <col min="11" max="11" width="30.85546875" bestFit="1" customWidth="1"/>
  </cols>
  <sheetData>
    <row r="2" spans="1:11" x14ac:dyDescent="0.25">
      <c r="A2" s="61" t="s">
        <v>10</v>
      </c>
      <c r="D2" s="34" t="s">
        <v>866</v>
      </c>
      <c r="E2" s="34" t="s">
        <v>853</v>
      </c>
      <c r="F2" s="34" t="s">
        <v>854</v>
      </c>
      <c r="G2" s="34" t="s">
        <v>867</v>
      </c>
      <c r="H2" s="34" t="s">
        <v>868</v>
      </c>
      <c r="I2" s="34" t="s">
        <v>853</v>
      </c>
      <c r="J2" s="34" t="s">
        <v>854</v>
      </c>
      <c r="K2" s="34" t="s">
        <v>867</v>
      </c>
    </row>
    <row r="3" spans="1:11" ht="27" x14ac:dyDescent="0.25">
      <c r="A3" s="59">
        <v>1</v>
      </c>
      <c r="B3" s="59" t="s">
        <v>13</v>
      </c>
      <c r="C3" s="62">
        <v>1</v>
      </c>
      <c r="D3" s="34"/>
      <c r="E3" s="34"/>
      <c r="F3" s="34"/>
      <c r="G3" s="34"/>
      <c r="H3" s="34"/>
      <c r="I3" s="34"/>
      <c r="J3" s="34"/>
      <c r="K3" s="34"/>
    </row>
    <row r="4" spans="1:11" x14ac:dyDescent="0.25">
      <c r="A4" s="59">
        <f>A3+1</f>
        <v>2</v>
      </c>
      <c r="B4" s="59" t="s">
        <v>15</v>
      </c>
      <c r="C4" s="62">
        <v>1</v>
      </c>
      <c r="D4" s="34"/>
      <c r="E4" s="34"/>
      <c r="F4" s="34"/>
      <c r="G4" s="34"/>
      <c r="H4" s="34"/>
      <c r="I4" s="34"/>
      <c r="J4" s="34"/>
      <c r="K4" s="34"/>
    </row>
    <row r="5" spans="1:11" x14ac:dyDescent="0.25">
      <c r="A5" s="59">
        <f t="shared" ref="A5:A68" si="0">A4+1</f>
        <v>3</v>
      </c>
      <c r="B5" s="59" t="s">
        <v>16</v>
      </c>
      <c r="C5" s="63">
        <v>1</v>
      </c>
      <c r="D5" s="34" t="s">
        <v>855</v>
      </c>
      <c r="E5" s="34">
        <v>9902162055</v>
      </c>
      <c r="F5" s="34"/>
      <c r="G5" s="34"/>
      <c r="H5" s="34"/>
      <c r="I5" s="34"/>
      <c r="J5" s="34"/>
      <c r="K5" s="34"/>
    </row>
    <row r="6" spans="1:11" x14ac:dyDescent="0.25">
      <c r="A6" s="59">
        <f t="shared" si="0"/>
        <v>4</v>
      </c>
      <c r="B6" s="59" t="s">
        <v>18</v>
      </c>
      <c r="C6" s="64">
        <v>1</v>
      </c>
      <c r="D6" s="34"/>
      <c r="E6" s="34"/>
      <c r="F6" s="34"/>
      <c r="G6" s="34"/>
      <c r="H6" s="34"/>
      <c r="I6" s="34"/>
      <c r="J6" s="34"/>
      <c r="K6" s="34"/>
    </row>
    <row r="7" spans="1:11" x14ac:dyDescent="0.25">
      <c r="A7" s="59">
        <f t="shared" si="0"/>
        <v>5</v>
      </c>
      <c r="B7" s="59" t="s">
        <v>19</v>
      </c>
      <c r="C7" s="62">
        <v>1</v>
      </c>
      <c r="D7" s="34"/>
      <c r="E7" s="34"/>
      <c r="F7" s="34"/>
      <c r="G7" s="34"/>
      <c r="H7" s="34"/>
      <c r="I7" s="34"/>
      <c r="J7" s="34"/>
      <c r="K7" s="34"/>
    </row>
    <row r="8" spans="1:11" x14ac:dyDescent="0.25">
      <c r="A8" s="59">
        <f t="shared" si="0"/>
        <v>6</v>
      </c>
      <c r="B8" s="59" t="s">
        <v>22</v>
      </c>
      <c r="C8" s="65">
        <v>1</v>
      </c>
      <c r="D8" s="34" t="s">
        <v>856</v>
      </c>
      <c r="E8" s="34">
        <v>7204567623</v>
      </c>
      <c r="F8" s="34"/>
      <c r="G8" s="34"/>
      <c r="H8" s="34"/>
      <c r="I8" s="34"/>
      <c r="J8" s="34"/>
      <c r="K8" s="34"/>
    </row>
    <row r="9" spans="1:11" x14ac:dyDescent="0.25">
      <c r="A9" s="59">
        <f t="shared" si="0"/>
        <v>7</v>
      </c>
      <c r="B9" s="59" t="s">
        <v>25</v>
      </c>
      <c r="C9" s="62">
        <v>1</v>
      </c>
      <c r="D9" s="34"/>
      <c r="E9" s="34"/>
      <c r="F9" s="34"/>
      <c r="G9" s="34"/>
      <c r="H9" s="34"/>
      <c r="I9" s="34"/>
      <c r="J9" s="34"/>
      <c r="K9" s="34"/>
    </row>
    <row r="10" spans="1:11" x14ac:dyDescent="0.25">
      <c r="A10" s="59">
        <f t="shared" si="0"/>
        <v>8</v>
      </c>
      <c r="B10" s="59" t="s">
        <v>28</v>
      </c>
      <c r="C10" s="62">
        <v>1</v>
      </c>
      <c r="D10" s="34" t="s">
        <v>857</v>
      </c>
      <c r="E10" s="34">
        <v>9830696900</v>
      </c>
      <c r="F10" s="34"/>
      <c r="G10" s="34"/>
      <c r="H10" s="34"/>
      <c r="I10" s="34"/>
      <c r="J10" s="34"/>
      <c r="K10" s="34"/>
    </row>
    <row r="11" spans="1:11" x14ac:dyDescent="0.25">
      <c r="A11" s="59">
        <f t="shared" si="0"/>
        <v>9</v>
      </c>
      <c r="B11" s="59" t="s">
        <v>31</v>
      </c>
      <c r="C11" s="62">
        <v>1</v>
      </c>
      <c r="D11" s="34"/>
      <c r="E11" s="34"/>
      <c r="F11" s="34"/>
      <c r="G11" s="34"/>
      <c r="H11" s="34"/>
      <c r="I11" s="34"/>
      <c r="J11" s="34"/>
      <c r="K11" s="34"/>
    </row>
    <row r="12" spans="1:11" x14ac:dyDescent="0.25">
      <c r="A12" s="59">
        <f t="shared" si="0"/>
        <v>10</v>
      </c>
      <c r="B12" s="59" t="s">
        <v>34</v>
      </c>
      <c r="C12" s="66">
        <v>1</v>
      </c>
      <c r="D12" s="34"/>
      <c r="E12" s="34"/>
      <c r="F12" s="34"/>
      <c r="G12" s="34"/>
      <c r="H12" s="34"/>
      <c r="I12" s="34"/>
      <c r="J12" s="34"/>
      <c r="K12" s="34"/>
    </row>
    <row r="13" spans="1:11" x14ac:dyDescent="0.25">
      <c r="A13" s="59">
        <f t="shared" si="0"/>
        <v>11</v>
      </c>
      <c r="B13" s="59" t="s">
        <v>37</v>
      </c>
      <c r="C13" s="62">
        <v>1</v>
      </c>
      <c r="D13" s="34" t="s">
        <v>858</v>
      </c>
      <c r="E13" s="34">
        <v>6282406787</v>
      </c>
      <c r="F13" s="34"/>
      <c r="G13" s="34"/>
      <c r="H13" s="34"/>
      <c r="I13" s="34"/>
      <c r="J13" s="34"/>
      <c r="K13" s="34"/>
    </row>
    <row r="14" spans="1:11" x14ac:dyDescent="0.25">
      <c r="A14" s="59">
        <f t="shared" si="0"/>
        <v>12</v>
      </c>
      <c r="B14" s="59" t="s">
        <v>40</v>
      </c>
      <c r="C14" s="66">
        <v>1</v>
      </c>
      <c r="D14" s="34"/>
      <c r="E14" s="34"/>
      <c r="F14" s="34"/>
      <c r="G14" s="34"/>
      <c r="H14" s="34"/>
      <c r="I14" s="34"/>
      <c r="J14" s="34"/>
      <c r="K14" s="34"/>
    </row>
    <row r="15" spans="1:11" x14ac:dyDescent="0.25">
      <c r="A15" s="59">
        <f t="shared" si="0"/>
        <v>13</v>
      </c>
      <c r="B15" s="59" t="s">
        <v>43</v>
      </c>
      <c r="C15" s="62">
        <v>1</v>
      </c>
      <c r="D15" s="34"/>
      <c r="E15" s="34"/>
      <c r="F15" s="34"/>
      <c r="G15" s="34"/>
      <c r="H15" s="34"/>
      <c r="I15" s="34"/>
      <c r="J15" s="34"/>
      <c r="K15" s="34"/>
    </row>
    <row r="16" spans="1:11" x14ac:dyDescent="0.25">
      <c r="A16" s="59">
        <f t="shared" si="0"/>
        <v>14</v>
      </c>
      <c r="B16" s="59" t="s">
        <v>45</v>
      </c>
      <c r="C16" s="63">
        <v>1</v>
      </c>
      <c r="D16" s="34" t="s">
        <v>859</v>
      </c>
      <c r="E16" s="34">
        <v>9669496999</v>
      </c>
      <c r="F16" s="34" t="s">
        <v>872</v>
      </c>
      <c r="G16" s="34"/>
      <c r="H16" s="34"/>
      <c r="I16" s="34"/>
      <c r="J16" s="34"/>
      <c r="K16" s="34"/>
    </row>
    <row r="17" spans="1:11" x14ac:dyDescent="0.25">
      <c r="A17" s="59">
        <f t="shared" si="0"/>
        <v>15</v>
      </c>
      <c r="B17" s="59" t="s">
        <v>48</v>
      </c>
      <c r="C17" s="64">
        <v>1</v>
      </c>
      <c r="D17" s="34"/>
      <c r="E17" s="34"/>
      <c r="F17" s="34"/>
      <c r="G17" s="34"/>
      <c r="H17" s="34"/>
      <c r="I17" s="34"/>
      <c r="J17" s="34"/>
      <c r="K17" s="34"/>
    </row>
    <row r="18" spans="1:11" x14ac:dyDescent="0.25">
      <c r="A18" s="59">
        <f t="shared" si="0"/>
        <v>16</v>
      </c>
      <c r="B18" s="59" t="s">
        <v>49</v>
      </c>
      <c r="C18" s="65">
        <v>1</v>
      </c>
      <c r="D18" s="34" t="s">
        <v>860</v>
      </c>
      <c r="E18" s="34">
        <v>8884465601</v>
      </c>
      <c r="F18" s="34"/>
      <c r="G18" s="34"/>
      <c r="H18" s="34"/>
      <c r="I18" s="34"/>
      <c r="J18" s="34"/>
      <c r="K18" s="34"/>
    </row>
    <row r="19" spans="1:11" x14ac:dyDescent="0.25">
      <c r="A19" s="59">
        <f t="shared" si="0"/>
        <v>17</v>
      </c>
      <c r="B19" s="59" t="s">
        <v>50</v>
      </c>
      <c r="C19" s="67">
        <v>3</v>
      </c>
      <c r="D19" s="34"/>
      <c r="E19" s="34"/>
      <c r="F19" s="34"/>
      <c r="G19" s="34"/>
      <c r="H19" s="34"/>
      <c r="I19" s="34"/>
      <c r="J19" s="34"/>
      <c r="K19" s="34"/>
    </row>
    <row r="20" spans="1:11" x14ac:dyDescent="0.25">
      <c r="A20" s="59">
        <f t="shared" si="0"/>
        <v>18</v>
      </c>
      <c r="B20" s="59" t="s">
        <v>51</v>
      </c>
      <c r="C20" s="67">
        <v>3</v>
      </c>
      <c r="D20" s="34"/>
      <c r="E20" s="34"/>
      <c r="F20" s="34"/>
      <c r="G20" s="34"/>
      <c r="H20" s="34"/>
      <c r="I20" s="34"/>
      <c r="J20" s="34"/>
      <c r="K20" s="34"/>
    </row>
    <row r="21" spans="1:11" x14ac:dyDescent="0.25">
      <c r="A21" s="59">
        <f t="shared" si="0"/>
        <v>19</v>
      </c>
      <c r="B21" s="59" t="s">
        <v>52</v>
      </c>
      <c r="C21" s="67">
        <v>3</v>
      </c>
      <c r="D21" s="34"/>
      <c r="E21" s="34"/>
      <c r="F21" s="34"/>
      <c r="G21" s="34"/>
      <c r="H21" s="34"/>
      <c r="I21" s="34"/>
      <c r="J21" s="34"/>
      <c r="K21" s="34"/>
    </row>
    <row r="22" spans="1:11" x14ac:dyDescent="0.25">
      <c r="A22" s="59">
        <f t="shared" si="0"/>
        <v>20</v>
      </c>
      <c r="B22" s="59" t="s">
        <v>53</v>
      </c>
      <c r="C22" s="67">
        <v>3</v>
      </c>
      <c r="D22" s="34"/>
      <c r="E22" s="34"/>
      <c r="F22" s="34"/>
      <c r="G22" s="34"/>
      <c r="H22" s="34"/>
      <c r="I22" s="34"/>
      <c r="J22" s="34"/>
      <c r="K22" s="34"/>
    </row>
    <row r="23" spans="1:11" x14ac:dyDescent="0.25">
      <c r="A23" s="59">
        <f t="shared" si="0"/>
        <v>21</v>
      </c>
      <c r="B23" s="59" t="s">
        <v>54</v>
      </c>
      <c r="C23" s="68">
        <v>3</v>
      </c>
      <c r="D23" s="34"/>
      <c r="E23" s="34"/>
      <c r="F23" s="34"/>
      <c r="G23" s="34"/>
      <c r="H23" s="34"/>
      <c r="I23" s="34"/>
      <c r="J23" s="34"/>
      <c r="K23" s="34"/>
    </row>
    <row r="24" spans="1:11" x14ac:dyDescent="0.25">
      <c r="A24" s="59">
        <f t="shared" si="0"/>
        <v>22</v>
      </c>
      <c r="B24" s="59" t="s">
        <v>55</v>
      </c>
      <c r="C24" s="69">
        <v>3</v>
      </c>
      <c r="D24" s="34"/>
      <c r="E24" s="34"/>
      <c r="F24" s="34"/>
      <c r="G24" s="34"/>
      <c r="H24" s="34"/>
      <c r="I24" s="34"/>
      <c r="J24" s="34"/>
      <c r="K24" s="34"/>
    </row>
    <row r="25" spans="1:11" x14ac:dyDescent="0.25">
      <c r="A25" s="59">
        <f t="shared" si="0"/>
        <v>23</v>
      </c>
      <c r="B25" s="59" t="s">
        <v>57</v>
      </c>
      <c r="C25" s="67">
        <v>3</v>
      </c>
      <c r="D25" s="34"/>
      <c r="E25" s="34"/>
      <c r="F25" s="34"/>
      <c r="G25" s="34"/>
      <c r="H25" s="34"/>
      <c r="I25" s="34"/>
      <c r="J25" s="34"/>
      <c r="K25" s="34"/>
    </row>
    <row r="26" spans="1:11" x14ac:dyDescent="0.25">
      <c r="A26" s="59">
        <f t="shared" si="0"/>
        <v>24</v>
      </c>
      <c r="B26" s="59" t="s">
        <v>58</v>
      </c>
      <c r="C26" s="67">
        <v>3</v>
      </c>
      <c r="D26" s="34"/>
      <c r="E26" s="34"/>
      <c r="F26" s="34"/>
      <c r="G26" s="34"/>
      <c r="H26" s="34"/>
      <c r="I26" s="34"/>
      <c r="J26" s="34"/>
      <c r="K26" s="34"/>
    </row>
    <row r="27" spans="1:11" x14ac:dyDescent="0.25">
      <c r="A27" s="59">
        <f t="shared" si="0"/>
        <v>25</v>
      </c>
      <c r="B27" s="59" t="s">
        <v>59</v>
      </c>
      <c r="C27" s="67">
        <v>3</v>
      </c>
      <c r="D27" s="34"/>
      <c r="E27" s="34"/>
      <c r="F27" s="34"/>
      <c r="G27" s="34"/>
      <c r="H27" s="34"/>
      <c r="I27" s="34"/>
      <c r="J27" s="34"/>
      <c r="K27" s="34"/>
    </row>
    <row r="28" spans="1:11" x14ac:dyDescent="0.25">
      <c r="A28" s="59">
        <f t="shared" si="0"/>
        <v>26</v>
      </c>
      <c r="B28" s="59" t="s">
        <v>60</v>
      </c>
      <c r="C28" s="68">
        <v>3</v>
      </c>
      <c r="D28" s="34"/>
      <c r="E28" s="34"/>
      <c r="F28" s="34"/>
      <c r="G28" s="34"/>
      <c r="H28" s="34"/>
      <c r="I28" s="34"/>
      <c r="J28" s="34"/>
      <c r="K28" s="34"/>
    </row>
    <row r="29" spans="1:11" x14ac:dyDescent="0.25">
      <c r="A29" s="59">
        <f t="shared" si="0"/>
        <v>27</v>
      </c>
      <c r="B29" s="59" t="s">
        <v>62</v>
      </c>
      <c r="C29" s="69">
        <v>3</v>
      </c>
      <c r="D29" s="34"/>
      <c r="E29" s="34"/>
      <c r="F29" s="34"/>
      <c r="G29" s="34"/>
      <c r="H29" s="34"/>
      <c r="I29" s="34"/>
      <c r="J29" s="34"/>
      <c r="K29" s="34"/>
    </row>
    <row r="30" spans="1:11" x14ac:dyDescent="0.25">
      <c r="A30" s="59">
        <f t="shared" si="0"/>
        <v>28</v>
      </c>
      <c r="B30" s="59" t="s">
        <v>64</v>
      </c>
      <c r="C30" s="67">
        <v>3</v>
      </c>
      <c r="D30" s="34"/>
      <c r="E30" s="34"/>
      <c r="F30" s="34"/>
      <c r="G30" s="34"/>
      <c r="H30" s="34"/>
      <c r="I30" s="34"/>
      <c r="J30" s="34"/>
      <c r="K30" s="34"/>
    </row>
    <row r="31" spans="1:11" x14ac:dyDescent="0.25">
      <c r="A31" s="59">
        <f t="shared" si="0"/>
        <v>29</v>
      </c>
      <c r="B31" s="59" t="s">
        <v>66</v>
      </c>
      <c r="C31" s="67">
        <v>3</v>
      </c>
      <c r="D31" s="34"/>
      <c r="E31" s="34"/>
      <c r="F31" s="34"/>
      <c r="G31" s="34"/>
      <c r="H31" s="34"/>
      <c r="I31" s="34"/>
      <c r="J31" s="34"/>
      <c r="K31" s="34"/>
    </row>
    <row r="32" spans="1:11" x14ac:dyDescent="0.25">
      <c r="A32" s="59">
        <f t="shared" si="0"/>
        <v>30</v>
      </c>
      <c r="B32" s="59" t="s">
        <v>67</v>
      </c>
      <c r="C32" s="67">
        <v>3</v>
      </c>
      <c r="D32" s="34"/>
      <c r="E32" s="34"/>
      <c r="F32" s="34"/>
      <c r="G32" s="34"/>
      <c r="H32" s="34"/>
      <c r="I32" s="34"/>
      <c r="J32" s="34"/>
      <c r="K32" s="34"/>
    </row>
    <row r="33" spans="1:11" x14ac:dyDescent="0.25">
      <c r="A33" s="59">
        <f t="shared" si="0"/>
        <v>31</v>
      </c>
      <c r="B33" s="59" t="s">
        <v>69</v>
      </c>
      <c r="C33" s="70" t="s">
        <v>1</v>
      </c>
      <c r="D33" s="34" t="s">
        <v>861</v>
      </c>
      <c r="E33" s="34">
        <v>8792913100</v>
      </c>
      <c r="F33" s="34"/>
      <c r="G33" s="34"/>
      <c r="H33" s="34"/>
      <c r="I33" s="34"/>
      <c r="J33" s="34"/>
      <c r="K33" s="34"/>
    </row>
    <row r="34" spans="1:11" x14ac:dyDescent="0.25">
      <c r="A34" s="59">
        <f t="shared" si="0"/>
        <v>32</v>
      </c>
      <c r="B34" s="59" t="s">
        <v>72</v>
      </c>
      <c r="C34" s="70" t="s">
        <v>1</v>
      </c>
      <c r="D34" s="34" t="s">
        <v>862</v>
      </c>
      <c r="E34" s="34">
        <v>7899482939</v>
      </c>
      <c r="F34" s="34"/>
      <c r="G34" s="34"/>
      <c r="H34" s="34"/>
      <c r="I34" s="34"/>
      <c r="J34" s="34"/>
      <c r="K34" s="34"/>
    </row>
    <row r="35" spans="1:11" x14ac:dyDescent="0.25">
      <c r="A35" s="59">
        <f t="shared" si="0"/>
        <v>33</v>
      </c>
      <c r="B35" s="59" t="s">
        <v>75</v>
      </c>
      <c r="C35" s="70" t="s">
        <v>1</v>
      </c>
      <c r="D35" s="34" t="s">
        <v>863</v>
      </c>
      <c r="E35" s="34">
        <v>8777098238</v>
      </c>
      <c r="F35" s="34"/>
      <c r="G35" s="34"/>
      <c r="H35" s="34"/>
      <c r="I35" s="34"/>
      <c r="J35" s="34"/>
      <c r="K35" s="34"/>
    </row>
    <row r="36" spans="1:11" x14ac:dyDescent="0.25">
      <c r="A36" s="59">
        <f t="shared" si="0"/>
        <v>34</v>
      </c>
      <c r="B36" s="59" t="s">
        <v>78</v>
      </c>
      <c r="C36" s="71" t="s">
        <v>1</v>
      </c>
      <c r="D36" s="34"/>
      <c r="E36" s="34"/>
      <c r="F36" s="34"/>
      <c r="G36" s="34"/>
      <c r="H36" s="34"/>
      <c r="I36" s="34"/>
      <c r="J36" s="34"/>
      <c r="K36" s="34"/>
    </row>
    <row r="37" spans="1:11" x14ac:dyDescent="0.25">
      <c r="A37" s="59">
        <f t="shared" si="0"/>
        <v>35</v>
      </c>
      <c r="B37" s="59" t="s">
        <v>79</v>
      </c>
      <c r="C37" s="72" t="s">
        <v>1</v>
      </c>
      <c r="D37" s="34"/>
      <c r="E37" s="34"/>
      <c r="F37" s="34"/>
      <c r="G37" s="34"/>
      <c r="H37" s="34"/>
      <c r="I37" s="34"/>
      <c r="J37" s="34"/>
      <c r="K37" s="34"/>
    </row>
    <row r="38" spans="1:11" x14ac:dyDescent="0.25">
      <c r="A38" s="59">
        <f t="shared" si="0"/>
        <v>36</v>
      </c>
      <c r="B38" s="59" t="s">
        <v>82</v>
      </c>
      <c r="C38" s="71" t="s">
        <v>1</v>
      </c>
      <c r="D38" s="34"/>
      <c r="E38" s="34"/>
      <c r="F38" s="34"/>
      <c r="G38" s="34"/>
      <c r="H38" s="34"/>
      <c r="I38" s="34"/>
      <c r="J38" s="34"/>
      <c r="K38" s="34"/>
    </row>
    <row r="39" spans="1:11" x14ac:dyDescent="0.25">
      <c r="A39" s="59">
        <f t="shared" si="0"/>
        <v>37</v>
      </c>
      <c r="B39" s="59" t="s">
        <v>85</v>
      </c>
      <c r="C39" s="71" t="s">
        <v>1</v>
      </c>
      <c r="D39" s="34"/>
      <c r="E39" s="34"/>
      <c r="F39" s="34"/>
      <c r="G39" s="34"/>
      <c r="H39" s="34"/>
      <c r="I39" s="34"/>
      <c r="J39" s="34"/>
      <c r="K39" s="34"/>
    </row>
    <row r="40" spans="1:11" x14ac:dyDescent="0.25">
      <c r="A40" s="59">
        <f t="shared" si="0"/>
        <v>38</v>
      </c>
      <c r="B40" s="59" t="s">
        <v>86</v>
      </c>
      <c r="C40" s="71" t="s">
        <v>1</v>
      </c>
      <c r="D40" s="34"/>
      <c r="E40" s="34"/>
      <c r="F40" s="34"/>
      <c r="G40" s="34"/>
      <c r="H40" s="34"/>
      <c r="I40" s="34"/>
      <c r="J40" s="34"/>
      <c r="K40" s="34"/>
    </row>
    <row r="41" spans="1:11" x14ac:dyDescent="0.25">
      <c r="A41" s="59">
        <f t="shared" si="0"/>
        <v>39</v>
      </c>
      <c r="B41" s="59" t="s">
        <v>89</v>
      </c>
      <c r="C41" s="73" t="s">
        <v>1</v>
      </c>
      <c r="D41" s="34"/>
      <c r="E41" s="34"/>
      <c r="F41" s="34"/>
      <c r="G41" s="34"/>
      <c r="H41" s="34"/>
      <c r="I41" s="34"/>
      <c r="J41" s="34"/>
      <c r="K41" s="34"/>
    </row>
    <row r="42" spans="1:11" x14ac:dyDescent="0.25">
      <c r="A42" s="59">
        <f t="shared" si="0"/>
        <v>40</v>
      </c>
      <c r="B42" s="59" t="s">
        <v>91</v>
      </c>
      <c r="C42" s="70" t="s">
        <v>1</v>
      </c>
      <c r="D42" s="34"/>
      <c r="E42" s="34"/>
      <c r="F42" s="34"/>
      <c r="G42" s="34"/>
      <c r="H42" s="34"/>
      <c r="I42" s="34"/>
      <c r="J42" s="34"/>
      <c r="K42" s="34"/>
    </row>
    <row r="43" spans="1:11" x14ac:dyDescent="0.25">
      <c r="A43" s="59">
        <f t="shared" si="0"/>
        <v>41</v>
      </c>
      <c r="B43" s="59" t="s">
        <v>94</v>
      </c>
      <c r="C43" s="74" t="s">
        <v>1</v>
      </c>
      <c r="D43" s="34"/>
      <c r="E43" s="34"/>
      <c r="F43" s="34"/>
      <c r="G43" s="34"/>
      <c r="H43" s="34"/>
      <c r="I43" s="34"/>
      <c r="J43" s="34"/>
      <c r="K43" s="34"/>
    </row>
    <row r="44" spans="1:11" x14ac:dyDescent="0.25">
      <c r="A44" s="59">
        <f t="shared" si="0"/>
        <v>42</v>
      </c>
      <c r="B44" s="59" t="s">
        <v>97</v>
      </c>
      <c r="C44" s="75" t="s">
        <v>3</v>
      </c>
      <c r="D44" s="34"/>
      <c r="E44" s="34"/>
      <c r="F44" s="34"/>
      <c r="G44" s="34"/>
      <c r="H44" s="34"/>
      <c r="I44" s="34"/>
      <c r="J44" s="34"/>
      <c r="K44" s="34"/>
    </row>
    <row r="45" spans="1:11" x14ac:dyDescent="0.25">
      <c r="A45" s="59">
        <f t="shared" si="0"/>
        <v>43</v>
      </c>
      <c r="B45" s="59" t="s">
        <v>99</v>
      </c>
      <c r="C45" s="75" t="s">
        <v>3</v>
      </c>
      <c r="D45" s="34"/>
      <c r="E45" s="34"/>
      <c r="F45" s="34"/>
      <c r="G45" s="34"/>
      <c r="H45" s="34"/>
      <c r="I45" s="34"/>
      <c r="J45" s="34"/>
      <c r="K45" s="34"/>
    </row>
    <row r="46" spans="1:11" x14ac:dyDescent="0.25">
      <c r="A46" s="59">
        <f t="shared" si="0"/>
        <v>44</v>
      </c>
      <c r="B46" s="59" t="s">
        <v>100</v>
      </c>
      <c r="C46" s="75" t="s">
        <v>3</v>
      </c>
      <c r="D46" s="34" t="s">
        <v>864</v>
      </c>
      <c r="E46" s="34">
        <v>7259212288</v>
      </c>
      <c r="F46" s="34"/>
      <c r="G46" s="34"/>
      <c r="H46" s="34"/>
      <c r="I46" s="34"/>
      <c r="J46" s="34"/>
      <c r="K46" s="34"/>
    </row>
    <row r="47" spans="1:11" x14ac:dyDescent="0.25">
      <c r="A47" s="59">
        <f t="shared" si="0"/>
        <v>45</v>
      </c>
      <c r="B47" s="59" t="s">
        <v>101</v>
      </c>
      <c r="C47" s="75" t="s">
        <v>3</v>
      </c>
      <c r="D47" s="34" t="s">
        <v>877</v>
      </c>
      <c r="E47" s="34">
        <v>9035460930</v>
      </c>
      <c r="F47" s="34"/>
      <c r="G47" s="34"/>
      <c r="H47" s="34"/>
      <c r="I47" s="34"/>
      <c r="J47" s="34"/>
      <c r="K47" s="34"/>
    </row>
    <row r="48" spans="1:11" x14ac:dyDescent="0.25">
      <c r="A48" s="59">
        <f t="shared" si="0"/>
        <v>46</v>
      </c>
      <c r="B48" s="59" t="s">
        <v>104</v>
      </c>
      <c r="C48" s="75" t="s">
        <v>3</v>
      </c>
      <c r="D48" s="34"/>
      <c r="E48" s="34"/>
      <c r="F48" s="34"/>
      <c r="G48" s="34"/>
      <c r="H48" s="34"/>
      <c r="I48" s="34"/>
      <c r="J48" s="34"/>
      <c r="K48" s="34"/>
    </row>
    <row r="49" spans="1:11" x14ac:dyDescent="0.25">
      <c r="A49" s="59">
        <f t="shared" si="0"/>
        <v>47</v>
      </c>
      <c r="B49" s="59" t="s">
        <v>106</v>
      </c>
      <c r="C49" s="76" t="s">
        <v>3</v>
      </c>
      <c r="D49" s="34"/>
      <c r="E49" s="34"/>
      <c r="F49" s="34"/>
      <c r="G49" s="34"/>
      <c r="H49" s="34"/>
      <c r="I49" s="34"/>
      <c r="J49" s="34"/>
      <c r="K49" s="34"/>
    </row>
    <row r="50" spans="1:11" x14ac:dyDescent="0.25">
      <c r="A50" s="59">
        <f t="shared" si="0"/>
        <v>48</v>
      </c>
      <c r="B50" s="59" t="s">
        <v>108</v>
      </c>
      <c r="C50" s="75" t="s">
        <v>3</v>
      </c>
      <c r="D50" s="34" t="s">
        <v>865</v>
      </c>
      <c r="E50" s="34">
        <v>9900438673</v>
      </c>
      <c r="F50" s="34" t="s">
        <v>871</v>
      </c>
      <c r="G50" s="34"/>
      <c r="H50" s="34" t="s">
        <v>869</v>
      </c>
      <c r="I50" s="85">
        <v>9739190355</v>
      </c>
      <c r="J50" s="34" t="s">
        <v>852</v>
      </c>
      <c r="K50" s="33" t="s">
        <v>870</v>
      </c>
    </row>
    <row r="51" spans="1:11" x14ac:dyDescent="0.25">
      <c r="A51" s="59">
        <f t="shared" si="0"/>
        <v>49</v>
      </c>
      <c r="B51" s="59" t="s">
        <v>110</v>
      </c>
      <c r="C51" s="77" t="s">
        <v>3</v>
      </c>
      <c r="D51" s="34"/>
      <c r="E51" s="34"/>
      <c r="F51" s="34"/>
      <c r="G51" s="34"/>
      <c r="H51" s="34"/>
      <c r="I51" s="34"/>
      <c r="J51" s="34"/>
      <c r="K51" s="34"/>
    </row>
    <row r="52" spans="1:11" x14ac:dyDescent="0.25">
      <c r="A52" s="59">
        <f t="shared" si="0"/>
        <v>50</v>
      </c>
      <c r="B52" s="59" t="s">
        <v>112</v>
      </c>
      <c r="C52" s="77" t="s">
        <v>3</v>
      </c>
      <c r="D52" s="34"/>
      <c r="E52" s="34"/>
      <c r="F52" s="34"/>
      <c r="G52" s="34"/>
      <c r="H52" s="34"/>
      <c r="I52" s="34"/>
      <c r="J52" s="34"/>
      <c r="K52" s="34"/>
    </row>
    <row r="53" spans="1:11" x14ac:dyDescent="0.25">
      <c r="A53" s="59">
        <f t="shared" si="0"/>
        <v>51</v>
      </c>
      <c r="B53" s="59" t="s">
        <v>114</v>
      </c>
      <c r="C53" s="77" t="s">
        <v>3</v>
      </c>
      <c r="D53" s="34"/>
      <c r="E53" s="34"/>
      <c r="F53" s="34"/>
      <c r="G53" s="34"/>
      <c r="H53" s="34"/>
      <c r="I53" s="34"/>
      <c r="J53" s="34"/>
      <c r="K53" s="34"/>
    </row>
    <row r="54" spans="1:11" x14ac:dyDescent="0.25">
      <c r="A54" s="59">
        <f t="shared" si="0"/>
        <v>52</v>
      </c>
      <c r="B54" s="59" t="s">
        <v>115</v>
      </c>
      <c r="C54" s="78" t="s">
        <v>3</v>
      </c>
      <c r="D54" s="34"/>
      <c r="E54" s="34"/>
      <c r="F54" s="34"/>
      <c r="G54" s="34"/>
      <c r="H54" s="34"/>
      <c r="I54" s="34"/>
      <c r="J54" s="34"/>
      <c r="K54" s="34"/>
    </row>
    <row r="55" spans="1:11" x14ac:dyDescent="0.25">
      <c r="A55" s="59">
        <f t="shared" si="0"/>
        <v>53</v>
      </c>
      <c r="B55" s="59" t="s">
        <v>116</v>
      </c>
      <c r="C55" s="75" t="s">
        <v>3</v>
      </c>
      <c r="D55" s="34"/>
      <c r="E55" s="34"/>
      <c r="F55" s="34"/>
      <c r="G55" s="34"/>
      <c r="H55" s="34"/>
      <c r="I55" s="34"/>
      <c r="J55" s="34"/>
      <c r="K55" s="34"/>
    </row>
    <row r="56" spans="1:11" x14ac:dyDescent="0.25">
      <c r="A56" s="59">
        <f t="shared" si="0"/>
        <v>54</v>
      </c>
      <c r="B56" s="59" t="s">
        <v>118</v>
      </c>
      <c r="C56" s="79" t="s">
        <v>3</v>
      </c>
      <c r="D56" s="34"/>
      <c r="E56" s="34"/>
      <c r="F56" s="34"/>
      <c r="G56" s="34"/>
      <c r="H56" s="34"/>
      <c r="I56" s="34"/>
      <c r="J56" s="34"/>
      <c r="K56" s="34"/>
    </row>
    <row r="57" spans="1:11" x14ac:dyDescent="0.25">
      <c r="A57" s="59">
        <f t="shared" si="0"/>
        <v>55</v>
      </c>
      <c r="B57" s="59" t="s">
        <v>119</v>
      </c>
      <c r="C57" s="77" t="s">
        <v>3</v>
      </c>
      <c r="D57" s="34"/>
      <c r="E57" s="34"/>
      <c r="F57" s="34"/>
      <c r="G57" s="34"/>
      <c r="H57" s="34"/>
      <c r="I57" s="34"/>
      <c r="J57" s="34"/>
      <c r="K57" s="34"/>
    </row>
    <row r="58" spans="1:11" x14ac:dyDescent="0.25">
      <c r="A58" s="59">
        <f t="shared" si="0"/>
        <v>56</v>
      </c>
      <c r="B58" s="59" t="s">
        <v>121</v>
      </c>
      <c r="C58" s="80" t="s">
        <v>6</v>
      </c>
      <c r="D58" s="34"/>
      <c r="E58" s="34"/>
      <c r="F58" s="34"/>
      <c r="G58" s="34"/>
      <c r="H58" s="34"/>
      <c r="I58" s="34"/>
      <c r="J58" s="34"/>
      <c r="K58" s="34"/>
    </row>
    <row r="59" spans="1:11" x14ac:dyDescent="0.25">
      <c r="A59" s="59">
        <f t="shared" si="0"/>
        <v>57</v>
      </c>
      <c r="B59" s="59" t="s">
        <v>122</v>
      </c>
      <c r="C59" s="81" t="s">
        <v>6</v>
      </c>
      <c r="D59" s="34"/>
      <c r="E59" s="34"/>
      <c r="F59" s="34" t="s">
        <v>1040</v>
      </c>
      <c r="G59" s="34"/>
      <c r="H59" s="34"/>
      <c r="I59" s="34"/>
      <c r="J59" s="34"/>
      <c r="K59" s="34"/>
    </row>
    <row r="60" spans="1:11" x14ac:dyDescent="0.25">
      <c r="A60" s="59">
        <f t="shared" si="0"/>
        <v>58</v>
      </c>
      <c r="B60" s="59" t="s">
        <v>123</v>
      </c>
      <c r="C60" s="82" t="s">
        <v>6</v>
      </c>
      <c r="D60" s="34"/>
      <c r="E60" s="34"/>
      <c r="F60" s="34"/>
      <c r="G60" s="34"/>
      <c r="H60" s="34"/>
      <c r="I60" s="34"/>
      <c r="J60" s="34"/>
      <c r="K60" s="34"/>
    </row>
    <row r="61" spans="1:11" x14ac:dyDescent="0.25">
      <c r="A61" s="59">
        <f t="shared" si="0"/>
        <v>59</v>
      </c>
      <c r="B61" s="59" t="s">
        <v>125</v>
      </c>
      <c r="C61" s="82" t="s">
        <v>6</v>
      </c>
      <c r="D61" s="34"/>
      <c r="E61" s="34"/>
      <c r="F61" s="34"/>
      <c r="G61" s="34"/>
      <c r="H61" s="34"/>
      <c r="I61" s="34"/>
      <c r="J61" s="34"/>
      <c r="K61" s="34"/>
    </row>
    <row r="62" spans="1:11" x14ac:dyDescent="0.25">
      <c r="A62" s="59">
        <f t="shared" si="0"/>
        <v>60</v>
      </c>
      <c r="B62" s="59" t="s">
        <v>127</v>
      </c>
      <c r="C62" s="82" t="s">
        <v>6</v>
      </c>
      <c r="D62" s="34"/>
      <c r="E62" s="34"/>
      <c r="F62" s="34"/>
      <c r="G62" s="34"/>
      <c r="H62" s="34"/>
      <c r="I62" s="34"/>
      <c r="J62" s="34"/>
      <c r="K62" s="34"/>
    </row>
    <row r="63" spans="1:11" ht="27" x14ac:dyDescent="0.25">
      <c r="A63" s="59">
        <f t="shared" si="0"/>
        <v>61</v>
      </c>
      <c r="B63" s="59" t="s">
        <v>129</v>
      </c>
      <c r="C63" s="82" t="s">
        <v>6</v>
      </c>
      <c r="D63" s="34"/>
      <c r="E63" s="34"/>
      <c r="F63" s="34"/>
      <c r="G63" s="34"/>
      <c r="H63" s="34"/>
      <c r="I63" s="34"/>
      <c r="J63" s="34"/>
      <c r="K63" s="34"/>
    </row>
    <row r="64" spans="1:11" x14ac:dyDescent="0.25">
      <c r="A64" s="59">
        <f t="shared" si="0"/>
        <v>62</v>
      </c>
      <c r="B64" s="59" t="s">
        <v>130</v>
      </c>
      <c r="C64" s="82" t="s">
        <v>6</v>
      </c>
      <c r="D64" s="34"/>
      <c r="E64" s="34"/>
      <c r="F64" s="34"/>
      <c r="G64" s="34"/>
      <c r="H64" s="34"/>
      <c r="I64" s="34"/>
      <c r="J64" s="34"/>
      <c r="K64" s="34"/>
    </row>
    <row r="65" spans="1:11" x14ac:dyDescent="0.25">
      <c r="A65" s="59">
        <f t="shared" si="0"/>
        <v>63</v>
      </c>
      <c r="B65" s="59" t="s">
        <v>131</v>
      </c>
      <c r="C65" s="80" t="s">
        <v>6</v>
      </c>
      <c r="D65" s="34"/>
      <c r="E65" s="34"/>
      <c r="F65" s="34"/>
      <c r="G65" s="34"/>
      <c r="H65" s="34"/>
      <c r="I65" s="34"/>
      <c r="J65" s="34"/>
      <c r="K65" s="34"/>
    </row>
    <row r="66" spans="1:11" x14ac:dyDescent="0.25">
      <c r="A66" s="59">
        <f t="shared" si="0"/>
        <v>64</v>
      </c>
      <c r="B66" s="59" t="s">
        <v>132</v>
      </c>
      <c r="C66" s="83" t="s">
        <v>6</v>
      </c>
      <c r="D66" s="34"/>
      <c r="E66" s="34"/>
      <c r="F66" s="34"/>
      <c r="G66" s="34"/>
      <c r="H66" s="34"/>
      <c r="I66" s="34"/>
      <c r="J66" s="34"/>
      <c r="K66" s="34"/>
    </row>
    <row r="67" spans="1:11" ht="40.5" x14ac:dyDescent="0.25">
      <c r="A67" s="59">
        <f t="shared" si="0"/>
        <v>65</v>
      </c>
      <c r="B67" s="59" t="s">
        <v>134</v>
      </c>
      <c r="C67" s="84" t="s">
        <v>6</v>
      </c>
      <c r="D67" s="34"/>
      <c r="E67" s="34"/>
      <c r="F67" s="34"/>
      <c r="G67" s="34"/>
      <c r="H67" s="34"/>
      <c r="I67" s="34"/>
      <c r="J67" s="34"/>
      <c r="K67" s="34"/>
    </row>
    <row r="68" spans="1:11" x14ac:dyDescent="0.25">
      <c r="A68" s="59">
        <f t="shared" si="0"/>
        <v>66</v>
      </c>
      <c r="B68" s="59" t="s">
        <v>135</v>
      </c>
      <c r="C68" s="82" t="s">
        <v>6</v>
      </c>
      <c r="D68" s="34"/>
      <c r="E68" s="34"/>
      <c r="F68" s="34"/>
      <c r="G68" s="34"/>
      <c r="H68" s="34"/>
      <c r="I68" s="34"/>
      <c r="J68" s="34"/>
      <c r="K68" s="34"/>
    </row>
    <row r="69" spans="1:11" x14ac:dyDescent="0.25">
      <c r="A69" s="59">
        <f t="shared" ref="A69:A77" si="1">A68+1</f>
        <v>67</v>
      </c>
      <c r="B69" s="59" t="s">
        <v>138</v>
      </c>
      <c r="C69" s="82" t="s">
        <v>6</v>
      </c>
      <c r="D69" s="34"/>
      <c r="E69" s="34"/>
      <c r="F69" s="34"/>
      <c r="G69" s="34"/>
      <c r="H69" s="34"/>
      <c r="I69" s="34"/>
      <c r="J69" s="34"/>
      <c r="K69" s="34"/>
    </row>
    <row r="70" spans="1:11" x14ac:dyDescent="0.25">
      <c r="A70" s="59">
        <f t="shared" si="1"/>
        <v>68</v>
      </c>
      <c r="B70" s="59" t="s">
        <v>139</v>
      </c>
      <c r="C70" s="82" t="s">
        <v>6</v>
      </c>
      <c r="D70" s="34"/>
      <c r="E70" s="34"/>
      <c r="F70" s="34"/>
      <c r="G70" s="34"/>
      <c r="H70" s="34"/>
      <c r="I70" s="34"/>
      <c r="J70" s="34"/>
      <c r="K70" s="34"/>
    </row>
    <row r="71" spans="1:11" x14ac:dyDescent="0.25">
      <c r="A71" s="59">
        <f t="shared" si="1"/>
        <v>69</v>
      </c>
      <c r="B71" s="59" t="s">
        <v>140</v>
      </c>
      <c r="C71" s="82" t="s">
        <v>6</v>
      </c>
      <c r="D71" s="34"/>
      <c r="E71" s="34"/>
      <c r="F71" s="34"/>
      <c r="G71" s="34"/>
      <c r="H71" s="34"/>
      <c r="I71" s="34"/>
      <c r="J71" s="34"/>
      <c r="K71" s="34"/>
    </row>
    <row r="72" spans="1:11" x14ac:dyDescent="0.25">
      <c r="A72" s="59">
        <f t="shared" si="1"/>
        <v>70</v>
      </c>
      <c r="B72" s="59" t="s">
        <v>142</v>
      </c>
      <c r="C72" s="82" t="s">
        <v>6</v>
      </c>
      <c r="D72" s="34"/>
      <c r="E72" s="34"/>
      <c r="F72" s="34"/>
      <c r="G72" s="34"/>
      <c r="H72" s="34"/>
      <c r="I72" s="34"/>
      <c r="J72" s="34"/>
      <c r="K72" s="34"/>
    </row>
    <row r="73" spans="1:11" x14ac:dyDescent="0.25">
      <c r="A73" s="59">
        <f t="shared" si="1"/>
        <v>71</v>
      </c>
      <c r="B73" s="59" t="s">
        <v>144</v>
      </c>
      <c r="C73" s="82" t="s">
        <v>6</v>
      </c>
      <c r="D73" s="34"/>
      <c r="E73" s="34"/>
      <c r="F73" s="34"/>
      <c r="G73" s="34"/>
      <c r="H73" s="34"/>
      <c r="I73" s="34"/>
      <c r="J73" s="34"/>
      <c r="K73" s="34"/>
    </row>
    <row r="74" spans="1:11" x14ac:dyDescent="0.25">
      <c r="A74" s="59">
        <f t="shared" si="1"/>
        <v>72</v>
      </c>
      <c r="B74" s="59" t="s">
        <v>145</v>
      </c>
      <c r="C74" s="77" t="s">
        <v>3</v>
      </c>
      <c r="D74" s="34"/>
      <c r="E74" s="34"/>
      <c r="F74" s="34"/>
      <c r="G74" s="34"/>
      <c r="H74" s="34"/>
      <c r="I74" s="34"/>
      <c r="J74" s="34"/>
      <c r="K74" s="34"/>
    </row>
    <row r="75" spans="1:11" x14ac:dyDescent="0.25">
      <c r="A75" s="59">
        <f t="shared" si="1"/>
        <v>73</v>
      </c>
      <c r="B75" s="59" t="s">
        <v>146</v>
      </c>
      <c r="C75" s="54" t="s">
        <v>147</v>
      </c>
      <c r="D75" s="34"/>
      <c r="E75" s="34"/>
      <c r="F75" s="34"/>
      <c r="G75" s="34"/>
      <c r="H75" s="34"/>
      <c r="I75" s="34"/>
      <c r="J75" s="34"/>
      <c r="K75" s="34"/>
    </row>
    <row r="76" spans="1:11" x14ac:dyDescent="0.25">
      <c r="A76" s="59">
        <f t="shared" si="1"/>
        <v>74</v>
      </c>
      <c r="B76" s="59" t="s">
        <v>148</v>
      </c>
      <c r="C76" s="77" t="s">
        <v>3</v>
      </c>
      <c r="D76" s="34"/>
      <c r="E76" s="34"/>
      <c r="F76" s="34"/>
      <c r="G76" s="34"/>
      <c r="H76" s="34"/>
      <c r="I76" s="34"/>
      <c r="J76" s="34"/>
      <c r="K76" s="34"/>
    </row>
    <row r="77" spans="1:11" x14ac:dyDescent="0.25">
      <c r="A77" s="59">
        <f t="shared" si="1"/>
        <v>75</v>
      </c>
      <c r="B77" s="59" t="s">
        <v>149</v>
      </c>
      <c r="C77" s="54" t="s">
        <v>150</v>
      </c>
      <c r="D77" s="34"/>
      <c r="E77" s="34"/>
      <c r="F77" s="34"/>
      <c r="G77" s="34"/>
      <c r="H77" s="34"/>
      <c r="I77" s="34"/>
      <c r="J77" s="34"/>
      <c r="K77" s="3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4DAD3-CB4A-40B9-A57C-434803484628}">
  <dimension ref="A1:C77"/>
  <sheetViews>
    <sheetView topLeftCell="A25" zoomScale="83" workbookViewId="0">
      <selection activeCell="D10" sqref="D10"/>
    </sheetView>
  </sheetViews>
  <sheetFormatPr defaultRowHeight="15" x14ac:dyDescent="0.25"/>
  <cols>
    <col min="1" max="1" width="5.5703125" bestFit="1" customWidth="1"/>
    <col min="2" max="2" width="18.42578125" customWidth="1"/>
    <col min="3" max="3" width="9.85546875" bestFit="1" customWidth="1"/>
  </cols>
  <sheetData>
    <row r="1" spans="1:3" x14ac:dyDescent="0.25">
      <c r="A1" s="89" t="s">
        <v>10</v>
      </c>
      <c r="B1" s="41" t="s">
        <v>1013</v>
      </c>
      <c r="C1" s="90"/>
    </row>
    <row r="2" spans="1:3" ht="27" x14ac:dyDescent="0.25">
      <c r="A2" s="91">
        <v>1</v>
      </c>
      <c r="B2" s="91" t="s">
        <v>13</v>
      </c>
      <c r="C2" s="90"/>
    </row>
    <row r="3" spans="1:3" x14ac:dyDescent="0.25">
      <c r="A3" s="91">
        <f>A2+1</f>
        <v>2</v>
      </c>
      <c r="B3" s="91" t="s">
        <v>15</v>
      </c>
      <c r="C3" s="90"/>
    </row>
    <row r="4" spans="1:3" x14ac:dyDescent="0.25">
      <c r="A4" s="91">
        <f t="shared" ref="A4:A67" si="0">A3+1</f>
        <v>3</v>
      </c>
      <c r="B4" s="91" t="s">
        <v>16</v>
      </c>
      <c r="C4" s="37">
        <v>45881</v>
      </c>
    </row>
    <row r="5" spans="1:3" x14ac:dyDescent="0.25">
      <c r="A5" s="91">
        <f t="shared" si="0"/>
        <v>4</v>
      </c>
      <c r="B5" s="91" t="s">
        <v>18</v>
      </c>
      <c r="C5" s="90"/>
    </row>
    <row r="6" spans="1:3" x14ac:dyDescent="0.25">
      <c r="A6" s="91">
        <f t="shared" si="0"/>
        <v>5</v>
      </c>
      <c r="B6" s="91" t="s">
        <v>19</v>
      </c>
      <c r="C6" s="90"/>
    </row>
    <row r="7" spans="1:3" x14ac:dyDescent="0.25">
      <c r="A7" s="91">
        <f t="shared" si="0"/>
        <v>6</v>
      </c>
      <c r="B7" s="91" t="s">
        <v>22</v>
      </c>
      <c r="C7" s="37">
        <v>45881</v>
      </c>
    </row>
    <row r="8" spans="1:3" x14ac:dyDescent="0.25">
      <c r="A8" s="91">
        <f t="shared" si="0"/>
        <v>7</v>
      </c>
      <c r="B8" s="91" t="s">
        <v>25</v>
      </c>
      <c r="C8" s="90"/>
    </row>
    <row r="9" spans="1:3" x14ac:dyDescent="0.25">
      <c r="A9" s="91">
        <f t="shared" si="0"/>
        <v>8</v>
      </c>
      <c r="B9" s="91" t="s">
        <v>28</v>
      </c>
      <c r="C9" s="37" t="s">
        <v>885</v>
      </c>
    </row>
    <row r="10" spans="1:3" x14ac:dyDescent="0.25">
      <c r="A10" s="91">
        <f t="shared" si="0"/>
        <v>9</v>
      </c>
      <c r="B10" s="91" t="s">
        <v>31</v>
      </c>
      <c r="C10" s="90"/>
    </row>
    <row r="11" spans="1:3" x14ac:dyDescent="0.25">
      <c r="A11" s="91">
        <f t="shared" si="0"/>
        <v>10</v>
      </c>
      <c r="B11" s="91" t="s">
        <v>34</v>
      </c>
      <c r="C11" s="37">
        <v>45883</v>
      </c>
    </row>
    <row r="12" spans="1:3" x14ac:dyDescent="0.25">
      <c r="A12" s="91">
        <f t="shared" si="0"/>
        <v>11</v>
      </c>
      <c r="B12" s="91" t="s">
        <v>37</v>
      </c>
      <c r="C12" s="37">
        <v>45910</v>
      </c>
    </row>
    <row r="13" spans="1:3" x14ac:dyDescent="0.25">
      <c r="A13" s="91">
        <f t="shared" si="0"/>
        <v>12</v>
      </c>
      <c r="B13" s="91" t="s">
        <v>40</v>
      </c>
      <c r="C13" s="37">
        <v>45888</v>
      </c>
    </row>
    <row r="14" spans="1:3" x14ac:dyDescent="0.25">
      <c r="A14" s="91">
        <f t="shared" si="0"/>
        <v>13</v>
      </c>
      <c r="B14" s="91" t="s">
        <v>43</v>
      </c>
      <c r="C14" s="90"/>
    </row>
    <row r="15" spans="1:3" x14ac:dyDescent="0.25">
      <c r="A15" s="91">
        <f t="shared" si="0"/>
        <v>14</v>
      </c>
      <c r="B15" s="91" t="s">
        <v>45</v>
      </c>
      <c r="C15" s="37">
        <v>45863</v>
      </c>
    </row>
    <row r="16" spans="1:3" x14ac:dyDescent="0.25">
      <c r="A16" s="91">
        <f t="shared" si="0"/>
        <v>15</v>
      </c>
      <c r="B16" s="91" t="s">
        <v>48</v>
      </c>
      <c r="C16" s="90"/>
    </row>
    <row r="17" spans="1:3" x14ac:dyDescent="0.25">
      <c r="A17" s="91">
        <f t="shared" si="0"/>
        <v>16</v>
      </c>
      <c r="B17" s="91" t="s">
        <v>49</v>
      </c>
      <c r="C17" s="37">
        <v>45888</v>
      </c>
    </row>
    <row r="18" spans="1:3" x14ac:dyDescent="0.25">
      <c r="A18" s="91">
        <f t="shared" si="0"/>
        <v>17</v>
      </c>
      <c r="B18" s="91" t="s">
        <v>50</v>
      </c>
      <c r="C18" s="90"/>
    </row>
    <row r="19" spans="1:3" ht="27" x14ac:dyDescent="0.25">
      <c r="A19" s="91">
        <f t="shared" si="0"/>
        <v>18</v>
      </c>
      <c r="B19" s="91" t="s">
        <v>51</v>
      </c>
      <c r="C19" s="90"/>
    </row>
    <row r="20" spans="1:3" x14ac:dyDescent="0.25">
      <c r="A20" s="91">
        <f t="shared" si="0"/>
        <v>19</v>
      </c>
      <c r="B20" s="91" t="s">
        <v>52</v>
      </c>
      <c r="C20" s="90"/>
    </row>
    <row r="21" spans="1:3" x14ac:dyDescent="0.25">
      <c r="A21" s="91">
        <f t="shared" si="0"/>
        <v>20</v>
      </c>
      <c r="B21" s="91" t="s">
        <v>53</v>
      </c>
      <c r="C21" s="90"/>
    </row>
    <row r="22" spans="1:3" x14ac:dyDescent="0.25">
      <c r="A22" s="91">
        <f t="shared" si="0"/>
        <v>21</v>
      </c>
      <c r="B22" s="91" t="s">
        <v>54</v>
      </c>
      <c r="C22" s="90"/>
    </row>
    <row r="23" spans="1:3" x14ac:dyDescent="0.25">
      <c r="A23" s="91">
        <f t="shared" si="0"/>
        <v>22</v>
      </c>
      <c r="B23" s="91" t="s">
        <v>55</v>
      </c>
      <c r="C23" s="90"/>
    </row>
    <row r="24" spans="1:3" x14ac:dyDescent="0.25">
      <c r="A24" s="91">
        <f t="shared" si="0"/>
        <v>23</v>
      </c>
      <c r="B24" s="91" t="s">
        <v>57</v>
      </c>
      <c r="C24" s="90"/>
    </row>
    <row r="25" spans="1:3" x14ac:dyDescent="0.25">
      <c r="A25" s="91">
        <f t="shared" si="0"/>
        <v>24</v>
      </c>
      <c r="B25" s="91" t="s">
        <v>58</v>
      </c>
      <c r="C25" s="90"/>
    </row>
    <row r="26" spans="1:3" x14ac:dyDescent="0.25">
      <c r="A26" s="91">
        <f t="shared" si="0"/>
        <v>25</v>
      </c>
      <c r="B26" s="91" t="s">
        <v>59</v>
      </c>
      <c r="C26" s="90"/>
    </row>
    <row r="27" spans="1:3" x14ac:dyDescent="0.25">
      <c r="A27" s="91">
        <f t="shared" si="0"/>
        <v>26</v>
      </c>
      <c r="B27" s="91" t="s">
        <v>60</v>
      </c>
      <c r="C27" s="90"/>
    </row>
    <row r="28" spans="1:3" x14ac:dyDescent="0.25">
      <c r="A28" s="91">
        <f t="shared" si="0"/>
        <v>27</v>
      </c>
      <c r="B28" s="91" t="s">
        <v>62</v>
      </c>
      <c r="C28" s="90"/>
    </row>
    <row r="29" spans="1:3" x14ac:dyDescent="0.25">
      <c r="A29" s="91">
        <f t="shared" si="0"/>
        <v>28</v>
      </c>
      <c r="B29" s="91" t="s">
        <v>64</v>
      </c>
      <c r="C29" s="90"/>
    </row>
    <row r="30" spans="1:3" x14ac:dyDescent="0.25">
      <c r="A30" s="91">
        <f t="shared" si="0"/>
        <v>29</v>
      </c>
      <c r="B30" s="91" t="s">
        <v>66</v>
      </c>
      <c r="C30" s="90"/>
    </row>
    <row r="31" spans="1:3" x14ac:dyDescent="0.25">
      <c r="A31" s="91">
        <f t="shared" si="0"/>
        <v>30</v>
      </c>
      <c r="B31" s="91" t="s">
        <v>67</v>
      </c>
      <c r="C31" s="90"/>
    </row>
    <row r="32" spans="1:3" x14ac:dyDescent="0.25">
      <c r="A32" s="91">
        <f t="shared" si="0"/>
        <v>31</v>
      </c>
      <c r="B32" s="91" t="s">
        <v>69</v>
      </c>
      <c r="C32" s="90"/>
    </row>
    <row r="33" spans="1:3" x14ac:dyDescent="0.25">
      <c r="A33" s="91">
        <f t="shared" si="0"/>
        <v>32</v>
      </c>
      <c r="B33" s="91" t="s">
        <v>72</v>
      </c>
      <c r="C33" s="41" t="s">
        <v>851</v>
      </c>
    </row>
    <row r="34" spans="1:3" x14ac:dyDescent="0.25">
      <c r="A34" s="91">
        <f t="shared" si="0"/>
        <v>33</v>
      </c>
      <c r="B34" s="91" t="s">
        <v>75</v>
      </c>
      <c r="C34" s="37">
        <v>45881</v>
      </c>
    </row>
    <row r="35" spans="1:3" ht="27" x14ac:dyDescent="0.25">
      <c r="A35" s="91">
        <f t="shared" si="0"/>
        <v>34</v>
      </c>
      <c r="B35" s="91" t="s">
        <v>78</v>
      </c>
      <c r="C35" s="90"/>
    </row>
    <row r="36" spans="1:3" x14ac:dyDescent="0.25">
      <c r="A36" s="91">
        <f t="shared" si="0"/>
        <v>35</v>
      </c>
      <c r="B36" s="91" t="s">
        <v>79</v>
      </c>
      <c r="C36" s="90"/>
    </row>
    <row r="37" spans="1:3" x14ac:dyDescent="0.25">
      <c r="A37" s="91">
        <f t="shared" si="0"/>
        <v>36</v>
      </c>
      <c r="B37" s="91" t="s">
        <v>82</v>
      </c>
      <c r="C37" s="90"/>
    </row>
    <row r="38" spans="1:3" x14ac:dyDescent="0.25">
      <c r="A38" s="91">
        <f t="shared" si="0"/>
        <v>37</v>
      </c>
      <c r="B38" s="91" t="s">
        <v>85</v>
      </c>
      <c r="C38" s="90"/>
    </row>
    <row r="39" spans="1:3" x14ac:dyDescent="0.25">
      <c r="A39" s="91">
        <f t="shared" si="0"/>
        <v>38</v>
      </c>
      <c r="B39" s="91" t="s">
        <v>86</v>
      </c>
      <c r="C39" s="37">
        <v>45890</v>
      </c>
    </row>
    <row r="40" spans="1:3" x14ac:dyDescent="0.25">
      <c r="A40" s="91">
        <f t="shared" si="0"/>
        <v>39</v>
      </c>
      <c r="B40" s="91" t="s">
        <v>89</v>
      </c>
      <c r="C40" s="37">
        <v>45882</v>
      </c>
    </row>
    <row r="41" spans="1:3" x14ac:dyDescent="0.25">
      <c r="A41" s="91">
        <f t="shared" si="0"/>
        <v>40</v>
      </c>
      <c r="B41" s="91" t="s">
        <v>91</v>
      </c>
      <c r="C41" s="90"/>
    </row>
    <row r="42" spans="1:3" x14ac:dyDescent="0.25">
      <c r="A42" s="91">
        <f t="shared" si="0"/>
        <v>41</v>
      </c>
      <c r="B42" s="91" t="s">
        <v>94</v>
      </c>
      <c r="C42" s="37">
        <v>45873</v>
      </c>
    </row>
    <row r="43" spans="1:3" x14ac:dyDescent="0.25">
      <c r="A43" s="91">
        <f t="shared" si="0"/>
        <v>42</v>
      </c>
      <c r="B43" s="91" t="s">
        <v>97</v>
      </c>
      <c r="C43" s="37">
        <v>45883</v>
      </c>
    </row>
    <row r="44" spans="1:3" x14ac:dyDescent="0.25">
      <c r="A44" s="91">
        <f t="shared" si="0"/>
        <v>43</v>
      </c>
      <c r="B44" s="91" t="s">
        <v>99</v>
      </c>
      <c r="C44" s="90"/>
    </row>
    <row r="45" spans="1:3" x14ac:dyDescent="0.25">
      <c r="A45" s="91">
        <f t="shared" si="0"/>
        <v>44</v>
      </c>
      <c r="B45" s="91" t="s">
        <v>100</v>
      </c>
      <c r="C45" s="90"/>
    </row>
    <row r="46" spans="1:3" x14ac:dyDescent="0.25">
      <c r="A46" s="91">
        <f t="shared" si="0"/>
        <v>45</v>
      </c>
      <c r="B46" s="91" t="s">
        <v>101</v>
      </c>
      <c r="C46" s="37">
        <v>45882</v>
      </c>
    </row>
    <row r="47" spans="1:3" x14ac:dyDescent="0.25">
      <c r="A47" s="91">
        <f t="shared" si="0"/>
        <v>46</v>
      </c>
      <c r="B47" s="91" t="s">
        <v>104</v>
      </c>
      <c r="C47" s="38">
        <v>45890</v>
      </c>
    </row>
    <row r="48" spans="1:3" x14ac:dyDescent="0.25">
      <c r="A48" s="91">
        <f t="shared" si="0"/>
        <v>47</v>
      </c>
      <c r="B48" s="91" t="s">
        <v>106</v>
      </c>
      <c r="C48" s="90"/>
    </row>
    <row r="49" spans="1:3" x14ac:dyDescent="0.25">
      <c r="A49" s="91">
        <f t="shared" si="0"/>
        <v>48</v>
      </c>
      <c r="B49" s="91" t="s">
        <v>108</v>
      </c>
      <c r="C49" s="37">
        <v>45873</v>
      </c>
    </row>
    <row r="50" spans="1:3" x14ac:dyDescent="0.25">
      <c r="A50" s="91">
        <f t="shared" si="0"/>
        <v>49</v>
      </c>
      <c r="B50" s="91" t="s">
        <v>110</v>
      </c>
      <c r="C50" s="90"/>
    </row>
    <row r="51" spans="1:3" x14ac:dyDescent="0.25">
      <c r="A51" s="91">
        <f t="shared" si="0"/>
        <v>50</v>
      </c>
      <c r="B51" s="91" t="s">
        <v>112</v>
      </c>
      <c r="C51" s="37">
        <v>45890</v>
      </c>
    </row>
    <row r="52" spans="1:3" x14ac:dyDescent="0.25">
      <c r="A52" s="91">
        <f t="shared" si="0"/>
        <v>51</v>
      </c>
      <c r="B52" s="91" t="s">
        <v>114</v>
      </c>
      <c r="C52" s="90"/>
    </row>
    <row r="53" spans="1:3" x14ac:dyDescent="0.25">
      <c r="A53" s="91">
        <f t="shared" si="0"/>
        <v>52</v>
      </c>
      <c r="B53" s="91" t="s">
        <v>115</v>
      </c>
      <c r="C53" s="90"/>
    </row>
    <row r="54" spans="1:3" x14ac:dyDescent="0.25">
      <c r="A54" s="91">
        <f t="shared" si="0"/>
        <v>53</v>
      </c>
      <c r="B54" s="91" t="s">
        <v>116</v>
      </c>
      <c r="C54" s="90"/>
    </row>
    <row r="55" spans="1:3" x14ac:dyDescent="0.25">
      <c r="A55" s="91">
        <f t="shared" si="0"/>
        <v>54</v>
      </c>
      <c r="B55" s="91" t="s">
        <v>118</v>
      </c>
      <c r="C55" s="90"/>
    </row>
    <row r="56" spans="1:3" x14ac:dyDescent="0.25">
      <c r="A56" s="91">
        <f t="shared" si="0"/>
        <v>55</v>
      </c>
      <c r="B56" s="91" t="s">
        <v>119</v>
      </c>
      <c r="C56" s="90"/>
    </row>
    <row r="57" spans="1:3" x14ac:dyDescent="0.25">
      <c r="A57" s="91">
        <f t="shared" si="0"/>
        <v>56</v>
      </c>
      <c r="B57" s="91" t="s">
        <v>121</v>
      </c>
      <c r="C57" s="90"/>
    </row>
    <row r="58" spans="1:3" x14ac:dyDescent="0.25">
      <c r="A58" s="91">
        <f t="shared" si="0"/>
        <v>57</v>
      </c>
      <c r="B58" s="91" t="s">
        <v>122</v>
      </c>
      <c r="C58" s="90"/>
    </row>
    <row r="59" spans="1:3" x14ac:dyDescent="0.25">
      <c r="A59" s="91">
        <f t="shared" si="0"/>
        <v>58</v>
      </c>
      <c r="B59" s="91" t="s">
        <v>123</v>
      </c>
      <c r="C59" s="90"/>
    </row>
    <row r="60" spans="1:3" x14ac:dyDescent="0.25">
      <c r="A60" s="91">
        <f t="shared" si="0"/>
        <v>59</v>
      </c>
      <c r="B60" s="91" t="s">
        <v>125</v>
      </c>
      <c r="C60" s="90"/>
    </row>
    <row r="61" spans="1:3" x14ac:dyDescent="0.25">
      <c r="A61" s="91">
        <f t="shared" si="0"/>
        <v>60</v>
      </c>
      <c r="B61" s="91" t="s">
        <v>127</v>
      </c>
      <c r="C61" s="90"/>
    </row>
    <row r="62" spans="1:3" ht="27" x14ac:dyDescent="0.25">
      <c r="A62" s="91">
        <f t="shared" si="0"/>
        <v>61</v>
      </c>
      <c r="B62" s="91" t="s">
        <v>129</v>
      </c>
      <c r="C62" s="90"/>
    </row>
    <row r="63" spans="1:3" x14ac:dyDescent="0.25">
      <c r="A63" s="91">
        <f t="shared" si="0"/>
        <v>62</v>
      </c>
      <c r="B63" s="91" t="s">
        <v>130</v>
      </c>
      <c r="C63" s="90"/>
    </row>
    <row r="64" spans="1:3" x14ac:dyDescent="0.25">
      <c r="A64" s="91">
        <f t="shared" si="0"/>
        <v>63</v>
      </c>
      <c r="B64" s="91" t="s">
        <v>131</v>
      </c>
      <c r="C64" s="90"/>
    </row>
    <row r="65" spans="1:3" x14ac:dyDescent="0.25">
      <c r="A65" s="91">
        <f t="shared" si="0"/>
        <v>64</v>
      </c>
      <c r="B65" s="91" t="s">
        <v>132</v>
      </c>
      <c r="C65" s="90"/>
    </row>
    <row r="66" spans="1:3" ht="40.5" x14ac:dyDescent="0.25">
      <c r="A66" s="91">
        <f t="shared" si="0"/>
        <v>65</v>
      </c>
      <c r="B66" s="91" t="s">
        <v>134</v>
      </c>
      <c r="C66" s="90"/>
    </row>
    <row r="67" spans="1:3" x14ac:dyDescent="0.25">
      <c r="A67" s="91">
        <f t="shared" si="0"/>
        <v>66</v>
      </c>
      <c r="B67" s="91" t="s">
        <v>135</v>
      </c>
      <c r="C67" s="90"/>
    </row>
    <row r="68" spans="1:3" x14ac:dyDescent="0.25">
      <c r="A68" s="91">
        <f t="shared" ref="A68:A76" si="1">A67+1</f>
        <v>67</v>
      </c>
      <c r="B68" s="91" t="s">
        <v>138</v>
      </c>
      <c r="C68" s="90"/>
    </row>
    <row r="69" spans="1:3" x14ac:dyDescent="0.25">
      <c r="A69" s="91">
        <f t="shared" si="1"/>
        <v>68</v>
      </c>
      <c r="B69" s="91" t="s">
        <v>139</v>
      </c>
      <c r="C69" s="90"/>
    </row>
    <row r="70" spans="1:3" x14ac:dyDescent="0.25">
      <c r="A70" s="91">
        <f t="shared" si="1"/>
        <v>69</v>
      </c>
      <c r="B70" s="91" t="s">
        <v>140</v>
      </c>
      <c r="C70" s="90"/>
    </row>
    <row r="71" spans="1:3" x14ac:dyDescent="0.25">
      <c r="A71" s="91">
        <f t="shared" si="1"/>
        <v>70</v>
      </c>
      <c r="B71" s="91" t="s">
        <v>142</v>
      </c>
      <c r="C71" s="90"/>
    </row>
    <row r="72" spans="1:3" x14ac:dyDescent="0.25">
      <c r="A72" s="91">
        <f t="shared" si="1"/>
        <v>71</v>
      </c>
      <c r="B72" s="91" t="s">
        <v>144</v>
      </c>
      <c r="C72" s="90"/>
    </row>
    <row r="73" spans="1:3" x14ac:dyDescent="0.25">
      <c r="A73" s="91">
        <f t="shared" si="1"/>
        <v>72</v>
      </c>
      <c r="B73" s="91" t="s">
        <v>145</v>
      </c>
      <c r="C73" s="90"/>
    </row>
    <row r="74" spans="1:3" x14ac:dyDescent="0.25">
      <c r="A74" s="91">
        <f t="shared" si="1"/>
        <v>73</v>
      </c>
      <c r="B74" s="91" t="s">
        <v>146</v>
      </c>
      <c r="C74" s="90"/>
    </row>
    <row r="75" spans="1:3" x14ac:dyDescent="0.25">
      <c r="A75" s="91">
        <f t="shared" si="1"/>
        <v>74</v>
      </c>
      <c r="B75" s="91" t="s">
        <v>148</v>
      </c>
      <c r="C75" s="37">
        <v>45880</v>
      </c>
    </row>
    <row r="76" spans="1:3" x14ac:dyDescent="0.25">
      <c r="A76" s="91">
        <f t="shared" si="1"/>
        <v>75</v>
      </c>
      <c r="B76" s="91" t="s">
        <v>149</v>
      </c>
      <c r="C76" s="90"/>
    </row>
    <row r="77" spans="1:3" x14ac:dyDescent="0.25">
      <c r="A77" s="90">
        <v>76</v>
      </c>
      <c r="B77" s="91" t="s">
        <v>844</v>
      </c>
      <c r="C77" s="37" t="s">
        <v>848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B601A-3976-4EF3-AC69-188D3BE9ACDE}">
  <dimension ref="A2:D77"/>
  <sheetViews>
    <sheetView workbookViewId="0">
      <selection activeCell="J9" sqref="J9"/>
    </sheetView>
  </sheetViews>
  <sheetFormatPr defaultRowHeight="15" x14ac:dyDescent="0.25"/>
  <cols>
    <col min="1" max="1" width="11.85546875" style="60" customWidth="1"/>
    <col min="2" max="2" width="38.5703125" style="60" customWidth="1"/>
  </cols>
  <sheetData>
    <row r="2" spans="1:4" x14ac:dyDescent="0.25">
      <c r="A2" s="125" t="s">
        <v>10</v>
      </c>
      <c r="B2" s="126" t="s">
        <v>1080</v>
      </c>
      <c r="C2" s="127" t="s">
        <v>1081</v>
      </c>
      <c r="D2" s="127" t="s">
        <v>1082</v>
      </c>
    </row>
    <row r="3" spans="1:4" x14ac:dyDescent="0.25">
      <c r="A3" s="91">
        <v>1</v>
      </c>
      <c r="B3" s="91" t="s">
        <v>13</v>
      </c>
      <c r="C3" s="90"/>
      <c r="D3" s="90"/>
    </row>
    <row r="4" spans="1:4" x14ac:dyDescent="0.25">
      <c r="A4" s="91">
        <f>A3+1</f>
        <v>2</v>
      </c>
      <c r="B4" s="91" t="s">
        <v>15</v>
      </c>
      <c r="C4" s="90"/>
      <c r="D4" s="90"/>
    </row>
    <row r="5" spans="1:4" x14ac:dyDescent="0.25">
      <c r="A5" s="91">
        <f t="shared" ref="A5:A68" si="0">A4+1</f>
        <v>3</v>
      </c>
      <c r="B5" s="91" t="s">
        <v>16</v>
      </c>
      <c r="C5" s="90"/>
      <c r="D5" s="90"/>
    </row>
    <row r="6" spans="1:4" x14ac:dyDescent="0.25">
      <c r="A6" s="91">
        <f t="shared" si="0"/>
        <v>4</v>
      </c>
      <c r="B6" s="91" t="s">
        <v>18</v>
      </c>
      <c r="C6" s="90"/>
      <c r="D6" s="90"/>
    </row>
    <row r="7" spans="1:4" x14ac:dyDescent="0.25">
      <c r="A7" s="91">
        <f t="shared" si="0"/>
        <v>5</v>
      </c>
      <c r="B7" s="91" t="s">
        <v>19</v>
      </c>
      <c r="C7" s="90"/>
      <c r="D7" s="90"/>
    </row>
    <row r="8" spans="1:4" x14ac:dyDescent="0.25">
      <c r="A8" s="91">
        <f t="shared" si="0"/>
        <v>6</v>
      </c>
      <c r="B8" s="91" t="s">
        <v>22</v>
      </c>
      <c r="C8" s="90"/>
      <c r="D8" s="90"/>
    </row>
    <row r="9" spans="1:4" x14ac:dyDescent="0.25">
      <c r="A9" s="91">
        <f t="shared" si="0"/>
        <v>7</v>
      </c>
      <c r="B9" s="91" t="s">
        <v>25</v>
      </c>
      <c r="C9" s="90">
        <v>100</v>
      </c>
      <c r="D9" s="90"/>
    </row>
    <row r="10" spans="1:4" x14ac:dyDescent="0.25">
      <c r="A10" s="91">
        <f t="shared" si="0"/>
        <v>8</v>
      </c>
      <c r="B10" s="91" t="s">
        <v>28</v>
      </c>
      <c r="C10" s="90"/>
      <c r="D10" s="90"/>
    </row>
    <row r="11" spans="1:4" x14ac:dyDescent="0.25">
      <c r="A11" s="91">
        <f t="shared" si="0"/>
        <v>9</v>
      </c>
      <c r="B11" s="91" t="s">
        <v>31</v>
      </c>
      <c r="C11" s="90"/>
      <c r="D11" s="90"/>
    </row>
    <row r="12" spans="1:4" x14ac:dyDescent="0.25">
      <c r="A12" s="91">
        <f t="shared" si="0"/>
        <v>10</v>
      </c>
      <c r="B12" s="91" t="s">
        <v>34</v>
      </c>
      <c r="C12" s="90"/>
      <c r="D12" s="90"/>
    </row>
    <row r="13" spans="1:4" x14ac:dyDescent="0.25">
      <c r="A13" s="91">
        <f t="shared" si="0"/>
        <v>11</v>
      </c>
      <c r="B13" s="91" t="s">
        <v>37</v>
      </c>
      <c r="C13" s="90"/>
      <c r="D13" s="90"/>
    </row>
    <row r="14" spans="1:4" x14ac:dyDescent="0.25">
      <c r="A14" s="91">
        <f t="shared" si="0"/>
        <v>12</v>
      </c>
      <c r="B14" s="91" t="s">
        <v>40</v>
      </c>
      <c r="C14" s="90"/>
      <c r="D14" s="90"/>
    </row>
    <row r="15" spans="1:4" x14ac:dyDescent="0.25">
      <c r="A15" s="91">
        <f t="shared" si="0"/>
        <v>13</v>
      </c>
      <c r="B15" s="91" t="s">
        <v>43</v>
      </c>
      <c r="C15" s="90"/>
      <c r="D15" s="90"/>
    </row>
    <row r="16" spans="1:4" x14ac:dyDescent="0.25">
      <c r="A16" s="91">
        <f t="shared" si="0"/>
        <v>14</v>
      </c>
      <c r="B16" s="91" t="s">
        <v>45</v>
      </c>
      <c r="C16" s="90"/>
      <c r="D16" s="90"/>
    </row>
    <row r="17" spans="1:4" x14ac:dyDescent="0.25">
      <c r="A17" s="91">
        <f t="shared" si="0"/>
        <v>15</v>
      </c>
      <c r="B17" s="91" t="s">
        <v>48</v>
      </c>
      <c r="C17" s="90"/>
      <c r="D17" s="90"/>
    </row>
    <row r="18" spans="1:4" x14ac:dyDescent="0.25">
      <c r="A18" s="91">
        <f t="shared" si="0"/>
        <v>16</v>
      </c>
      <c r="B18" s="91" t="s">
        <v>49</v>
      </c>
      <c r="C18" s="90"/>
      <c r="D18" s="90"/>
    </row>
    <row r="19" spans="1:4" x14ac:dyDescent="0.25">
      <c r="A19" s="91">
        <f t="shared" si="0"/>
        <v>17</v>
      </c>
      <c r="B19" s="91" t="s">
        <v>50</v>
      </c>
      <c r="C19" s="90"/>
      <c r="D19" s="90"/>
    </row>
    <row r="20" spans="1:4" x14ac:dyDescent="0.25">
      <c r="A20" s="91">
        <f t="shared" si="0"/>
        <v>18</v>
      </c>
      <c r="B20" s="91" t="s">
        <v>51</v>
      </c>
      <c r="C20" s="90"/>
      <c r="D20" s="90"/>
    </row>
    <row r="21" spans="1:4" x14ac:dyDescent="0.25">
      <c r="A21" s="91">
        <f t="shared" si="0"/>
        <v>19</v>
      </c>
      <c r="B21" s="91" t="s">
        <v>52</v>
      </c>
      <c r="C21" s="90"/>
      <c r="D21" s="90"/>
    </row>
    <row r="22" spans="1:4" x14ac:dyDescent="0.25">
      <c r="A22" s="91">
        <f t="shared" si="0"/>
        <v>20</v>
      </c>
      <c r="B22" s="91" t="s">
        <v>53</v>
      </c>
      <c r="C22" s="90"/>
      <c r="D22" s="90"/>
    </row>
    <row r="23" spans="1:4" x14ac:dyDescent="0.25">
      <c r="A23" s="91">
        <f t="shared" si="0"/>
        <v>21</v>
      </c>
      <c r="B23" s="91" t="s">
        <v>54</v>
      </c>
      <c r="C23" s="90"/>
      <c r="D23" s="90"/>
    </row>
    <row r="24" spans="1:4" x14ac:dyDescent="0.25">
      <c r="A24" s="91">
        <f t="shared" si="0"/>
        <v>22</v>
      </c>
      <c r="B24" s="91" t="s">
        <v>55</v>
      </c>
      <c r="C24" s="90"/>
      <c r="D24" s="90"/>
    </row>
    <row r="25" spans="1:4" x14ac:dyDescent="0.25">
      <c r="A25" s="91">
        <f t="shared" si="0"/>
        <v>23</v>
      </c>
      <c r="B25" s="91" t="s">
        <v>57</v>
      </c>
      <c r="C25" s="90"/>
      <c r="D25" s="90"/>
    </row>
    <row r="26" spans="1:4" x14ac:dyDescent="0.25">
      <c r="A26" s="91">
        <f t="shared" si="0"/>
        <v>24</v>
      </c>
      <c r="B26" s="91" t="s">
        <v>58</v>
      </c>
      <c r="C26" s="90"/>
      <c r="D26" s="90"/>
    </row>
    <row r="27" spans="1:4" x14ac:dyDescent="0.25">
      <c r="A27" s="91">
        <f t="shared" si="0"/>
        <v>25</v>
      </c>
      <c r="B27" s="91" t="s">
        <v>59</v>
      </c>
      <c r="C27" s="90"/>
      <c r="D27" s="90"/>
    </row>
    <row r="28" spans="1:4" x14ac:dyDescent="0.25">
      <c r="A28" s="91">
        <f t="shared" si="0"/>
        <v>26</v>
      </c>
      <c r="B28" s="91" t="s">
        <v>60</v>
      </c>
      <c r="C28" s="90"/>
      <c r="D28" s="90"/>
    </row>
    <row r="29" spans="1:4" x14ac:dyDescent="0.25">
      <c r="A29" s="91">
        <f t="shared" si="0"/>
        <v>27</v>
      </c>
      <c r="B29" s="91" t="s">
        <v>62</v>
      </c>
      <c r="C29" s="90"/>
      <c r="D29" s="90"/>
    </row>
    <row r="30" spans="1:4" x14ac:dyDescent="0.25">
      <c r="A30" s="91">
        <f t="shared" si="0"/>
        <v>28</v>
      </c>
      <c r="B30" s="91" t="s">
        <v>64</v>
      </c>
      <c r="C30" s="90"/>
      <c r="D30" s="90"/>
    </row>
    <row r="31" spans="1:4" x14ac:dyDescent="0.25">
      <c r="A31" s="91">
        <f t="shared" si="0"/>
        <v>29</v>
      </c>
      <c r="B31" s="91" t="s">
        <v>66</v>
      </c>
      <c r="C31" s="90"/>
      <c r="D31" s="90"/>
    </row>
    <row r="32" spans="1:4" x14ac:dyDescent="0.25">
      <c r="A32" s="91">
        <f t="shared" si="0"/>
        <v>30</v>
      </c>
      <c r="B32" s="91" t="s">
        <v>67</v>
      </c>
      <c r="C32" s="90"/>
      <c r="D32" s="90"/>
    </row>
    <row r="33" spans="1:4" x14ac:dyDescent="0.25">
      <c r="A33" s="91">
        <f t="shared" si="0"/>
        <v>31</v>
      </c>
      <c r="B33" s="91" t="s">
        <v>69</v>
      </c>
      <c r="C33" s="90"/>
      <c r="D33" s="90"/>
    </row>
    <row r="34" spans="1:4" x14ac:dyDescent="0.25">
      <c r="A34" s="91">
        <f t="shared" si="0"/>
        <v>32</v>
      </c>
      <c r="B34" s="91" t="s">
        <v>72</v>
      </c>
      <c r="C34" s="90"/>
      <c r="D34" s="90"/>
    </row>
    <row r="35" spans="1:4" x14ac:dyDescent="0.25">
      <c r="A35" s="91">
        <f t="shared" si="0"/>
        <v>33</v>
      </c>
      <c r="B35" s="91" t="s">
        <v>75</v>
      </c>
      <c r="C35" s="90"/>
      <c r="D35" s="90"/>
    </row>
    <row r="36" spans="1:4" x14ac:dyDescent="0.25">
      <c r="A36" s="91">
        <f t="shared" si="0"/>
        <v>34</v>
      </c>
      <c r="B36" s="91" t="s">
        <v>78</v>
      </c>
      <c r="C36" s="90"/>
      <c r="D36" s="90"/>
    </row>
    <row r="37" spans="1:4" x14ac:dyDescent="0.25">
      <c r="A37" s="91">
        <f t="shared" si="0"/>
        <v>35</v>
      </c>
      <c r="B37" s="91" t="s">
        <v>79</v>
      </c>
      <c r="C37" s="90"/>
      <c r="D37" s="90"/>
    </row>
    <row r="38" spans="1:4" x14ac:dyDescent="0.25">
      <c r="A38" s="91">
        <f t="shared" si="0"/>
        <v>36</v>
      </c>
      <c r="B38" s="91" t="s">
        <v>82</v>
      </c>
      <c r="C38" s="90"/>
      <c r="D38" s="90"/>
    </row>
    <row r="39" spans="1:4" x14ac:dyDescent="0.25">
      <c r="A39" s="91">
        <f t="shared" si="0"/>
        <v>37</v>
      </c>
      <c r="B39" s="91" t="s">
        <v>85</v>
      </c>
      <c r="C39" s="90"/>
      <c r="D39" s="90"/>
    </row>
    <row r="40" spans="1:4" x14ac:dyDescent="0.25">
      <c r="A40" s="91">
        <f t="shared" si="0"/>
        <v>38</v>
      </c>
      <c r="B40" s="91" t="s">
        <v>86</v>
      </c>
      <c r="C40" s="90"/>
      <c r="D40" s="90"/>
    </row>
    <row r="41" spans="1:4" x14ac:dyDescent="0.25">
      <c r="A41" s="91">
        <f t="shared" si="0"/>
        <v>39</v>
      </c>
      <c r="B41" s="91" t="s">
        <v>89</v>
      </c>
      <c r="C41" s="90"/>
      <c r="D41" s="90"/>
    </row>
    <row r="42" spans="1:4" x14ac:dyDescent="0.25">
      <c r="A42" s="91">
        <f t="shared" si="0"/>
        <v>40</v>
      </c>
      <c r="B42" s="91" t="s">
        <v>91</v>
      </c>
      <c r="C42" s="90"/>
      <c r="D42" s="90"/>
    </row>
    <row r="43" spans="1:4" x14ac:dyDescent="0.25">
      <c r="A43" s="91">
        <f t="shared" si="0"/>
        <v>41</v>
      </c>
      <c r="B43" s="91" t="s">
        <v>94</v>
      </c>
      <c r="C43" s="90"/>
      <c r="D43" s="90"/>
    </row>
    <row r="44" spans="1:4" x14ac:dyDescent="0.25">
      <c r="A44" s="91">
        <f t="shared" si="0"/>
        <v>42</v>
      </c>
      <c r="B44" s="91" t="s">
        <v>97</v>
      </c>
      <c r="C44" s="90"/>
      <c r="D44" s="90"/>
    </row>
    <row r="45" spans="1:4" x14ac:dyDescent="0.25">
      <c r="A45" s="91">
        <f t="shared" si="0"/>
        <v>43</v>
      </c>
      <c r="B45" s="91" t="s">
        <v>99</v>
      </c>
      <c r="C45" s="90"/>
      <c r="D45" s="90"/>
    </row>
    <row r="46" spans="1:4" x14ac:dyDescent="0.25">
      <c r="A46" s="91">
        <f t="shared" si="0"/>
        <v>44</v>
      </c>
      <c r="B46" s="91" t="s">
        <v>100</v>
      </c>
      <c r="C46" s="90"/>
      <c r="D46" s="90"/>
    </row>
    <row r="47" spans="1:4" x14ac:dyDescent="0.25">
      <c r="A47" s="91">
        <f t="shared" si="0"/>
        <v>45</v>
      </c>
      <c r="B47" s="91" t="s">
        <v>101</v>
      </c>
      <c r="C47" s="90"/>
      <c r="D47" s="90"/>
    </row>
    <row r="48" spans="1:4" x14ac:dyDescent="0.25">
      <c r="A48" s="91">
        <f t="shared" si="0"/>
        <v>46</v>
      </c>
      <c r="B48" s="91" t="s">
        <v>104</v>
      </c>
      <c r="C48" s="90"/>
      <c r="D48" s="90"/>
    </row>
    <row r="49" spans="1:4" x14ac:dyDescent="0.25">
      <c r="A49" s="91">
        <f t="shared" si="0"/>
        <v>47</v>
      </c>
      <c r="B49" s="91" t="s">
        <v>106</v>
      </c>
      <c r="C49" s="90"/>
      <c r="D49" s="90"/>
    </row>
    <row r="50" spans="1:4" x14ac:dyDescent="0.25">
      <c r="A50" s="91">
        <f t="shared" si="0"/>
        <v>48</v>
      </c>
      <c r="B50" s="91" t="s">
        <v>108</v>
      </c>
      <c r="C50" s="90"/>
      <c r="D50" s="90"/>
    </row>
    <row r="51" spans="1:4" x14ac:dyDescent="0.25">
      <c r="A51" s="91">
        <f t="shared" si="0"/>
        <v>49</v>
      </c>
      <c r="B51" s="91" t="s">
        <v>110</v>
      </c>
      <c r="C51" s="90"/>
      <c r="D51" s="90"/>
    </row>
    <row r="52" spans="1:4" x14ac:dyDescent="0.25">
      <c r="A52" s="91">
        <f t="shared" si="0"/>
        <v>50</v>
      </c>
      <c r="B52" s="91" t="s">
        <v>112</v>
      </c>
      <c r="C52" s="90"/>
      <c r="D52" s="90"/>
    </row>
    <row r="53" spans="1:4" x14ac:dyDescent="0.25">
      <c r="A53" s="91">
        <f t="shared" si="0"/>
        <v>51</v>
      </c>
      <c r="B53" s="91" t="s">
        <v>114</v>
      </c>
      <c r="C53" s="90"/>
      <c r="D53" s="90"/>
    </row>
    <row r="54" spans="1:4" x14ac:dyDescent="0.25">
      <c r="A54" s="91">
        <f t="shared" si="0"/>
        <v>52</v>
      </c>
      <c r="B54" s="91" t="s">
        <v>115</v>
      </c>
      <c r="C54" s="90"/>
      <c r="D54" s="90"/>
    </row>
    <row r="55" spans="1:4" x14ac:dyDescent="0.25">
      <c r="A55" s="91">
        <f t="shared" si="0"/>
        <v>53</v>
      </c>
      <c r="B55" s="91" t="s">
        <v>116</v>
      </c>
      <c r="C55" s="90"/>
      <c r="D55" s="90"/>
    </row>
    <row r="56" spans="1:4" x14ac:dyDescent="0.25">
      <c r="A56" s="91">
        <f t="shared" si="0"/>
        <v>54</v>
      </c>
      <c r="B56" s="91" t="s">
        <v>118</v>
      </c>
      <c r="C56" s="90"/>
      <c r="D56" s="90"/>
    </row>
    <row r="57" spans="1:4" x14ac:dyDescent="0.25">
      <c r="A57" s="91">
        <f t="shared" si="0"/>
        <v>55</v>
      </c>
      <c r="B57" s="91" t="s">
        <v>119</v>
      </c>
      <c r="C57" s="90"/>
      <c r="D57" s="90"/>
    </row>
    <row r="58" spans="1:4" x14ac:dyDescent="0.25">
      <c r="A58" s="91">
        <f t="shared" si="0"/>
        <v>56</v>
      </c>
      <c r="B58" s="91" t="s">
        <v>121</v>
      </c>
      <c r="C58" s="90"/>
      <c r="D58" s="90"/>
    </row>
    <row r="59" spans="1:4" x14ac:dyDescent="0.25">
      <c r="A59" s="91">
        <f t="shared" si="0"/>
        <v>57</v>
      </c>
      <c r="B59" s="91" t="s">
        <v>122</v>
      </c>
      <c r="C59" s="90"/>
      <c r="D59" s="90"/>
    </row>
    <row r="60" spans="1:4" x14ac:dyDescent="0.25">
      <c r="A60" s="91">
        <f t="shared" si="0"/>
        <v>58</v>
      </c>
      <c r="B60" s="91" t="s">
        <v>123</v>
      </c>
      <c r="C60" s="90"/>
      <c r="D60" s="90"/>
    </row>
    <row r="61" spans="1:4" x14ac:dyDescent="0.25">
      <c r="A61" s="91">
        <f t="shared" si="0"/>
        <v>59</v>
      </c>
      <c r="B61" s="91" t="s">
        <v>125</v>
      </c>
      <c r="C61" s="90"/>
      <c r="D61" s="90"/>
    </row>
    <row r="62" spans="1:4" x14ac:dyDescent="0.25">
      <c r="A62" s="91">
        <f t="shared" si="0"/>
        <v>60</v>
      </c>
      <c r="B62" s="91" t="s">
        <v>127</v>
      </c>
      <c r="C62" s="90"/>
      <c r="D62" s="90"/>
    </row>
    <row r="63" spans="1:4" x14ac:dyDescent="0.25">
      <c r="A63" s="91">
        <f t="shared" si="0"/>
        <v>61</v>
      </c>
      <c r="B63" s="91" t="s">
        <v>129</v>
      </c>
      <c r="C63" s="90"/>
      <c r="D63" s="90"/>
    </row>
    <row r="64" spans="1:4" x14ac:dyDescent="0.25">
      <c r="A64" s="91">
        <f t="shared" si="0"/>
        <v>62</v>
      </c>
      <c r="B64" s="91" t="s">
        <v>130</v>
      </c>
      <c r="C64" s="90"/>
      <c r="D64" s="90"/>
    </row>
    <row r="65" spans="1:4" x14ac:dyDescent="0.25">
      <c r="A65" s="91">
        <f t="shared" si="0"/>
        <v>63</v>
      </c>
      <c r="B65" s="91" t="s">
        <v>131</v>
      </c>
      <c r="C65" s="90"/>
      <c r="D65" s="90"/>
    </row>
    <row r="66" spans="1:4" x14ac:dyDescent="0.25">
      <c r="A66" s="91">
        <f t="shared" si="0"/>
        <v>64</v>
      </c>
      <c r="B66" s="91" t="s">
        <v>132</v>
      </c>
      <c r="C66" s="90"/>
      <c r="D66" s="90"/>
    </row>
    <row r="67" spans="1:4" ht="27" x14ac:dyDescent="0.25">
      <c r="A67" s="91">
        <f t="shared" si="0"/>
        <v>65</v>
      </c>
      <c r="B67" s="91" t="s">
        <v>134</v>
      </c>
      <c r="C67" s="90"/>
      <c r="D67" s="90"/>
    </row>
    <row r="68" spans="1:4" x14ac:dyDescent="0.25">
      <c r="A68" s="91">
        <f t="shared" si="0"/>
        <v>66</v>
      </c>
      <c r="B68" s="91" t="s">
        <v>135</v>
      </c>
      <c r="C68" s="90"/>
      <c r="D68" s="90"/>
    </row>
    <row r="69" spans="1:4" x14ac:dyDescent="0.25">
      <c r="A69" s="91">
        <f t="shared" ref="A69:A77" si="1">A68+1</f>
        <v>67</v>
      </c>
      <c r="B69" s="91" t="s">
        <v>138</v>
      </c>
      <c r="C69" s="90"/>
      <c r="D69" s="90"/>
    </row>
    <row r="70" spans="1:4" x14ac:dyDescent="0.25">
      <c r="A70" s="91">
        <f t="shared" si="1"/>
        <v>68</v>
      </c>
      <c r="B70" s="91" t="s">
        <v>139</v>
      </c>
      <c r="C70" s="90"/>
      <c r="D70" s="90"/>
    </row>
    <row r="71" spans="1:4" x14ac:dyDescent="0.25">
      <c r="A71" s="91">
        <f t="shared" si="1"/>
        <v>69</v>
      </c>
      <c r="B71" s="91" t="s">
        <v>140</v>
      </c>
      <c r="C71" s="90"/>
      <c r="D71" s="90"/>
    </row>
    <row r="72" spans="1:4" x14ac:dyDescent="0.25">
      <c r="A72" s="91">
        <f t="shared" si="1"/>
        <v>70</v>
      </c>
      <c r="B72" s="91" t="s">
        <v>142</v>
      </c>
      <c r="C72" s="90"/>
      <c r="D72" s="90"/>
    </row>
    <row r="73" spans="1:4" x14ac:dyDescent="0.25">
      <c r="A73" s="91">
        <f t="shared" si="1"/>
        <v>71</v>
      </c>
      <c r="B73" s="91" t="s">
        <v>144</v>
      </c>
      <c r="C73" s="90"/>
      <c r="D73" s="90"/>
    </row>
    <row r="74" spans="1:4" x14ac:dyDescent="0.25">
      <c r="A74" s="91">
        <f t="shared" si="1"/>
        <v>72</v>
      </c>
      <c r="B74" s="91" t="s">
        <v>145</v>
      </c>
      <c r="C74" s="90"/>
      <c r="D74" s="90"/>
    </row>
    <row r="75" spans="1:4" x14ac:dyDescent="0.25">
      <c r="A75" s="91">
        <f t="shared" si="1"/>
        <v>73</v>
      </c>
      <c r="B75" s="91" t="s">
        <v>146</v>
      </c>
      <c r="C75" s="90"/>
      <c r="D75" s="90"/>
    </row>
    <row r="76" spans="1:4" x14ac:dyDescent="0.25">
      <c r="A76" s="91">
        <f t="shared" si="1"/>
        <v>74</v>
      </c>
      <c r="B76" s="91" t="s">
        <v>148</v>
      </c>
      <c r="C76" s="90"/>
      <c r="D76" s="90"/>
    </row>
    <row r="77" spans="1:4" x14ac:dyDescent="0.25">
      <c r="A77" s="91">
        <f t="shared" si="1"/>
        <v>75</v>
      </c>
      <c r="B77" s="91" t="s">
        <v>149</v>
      </c>
      <c r="C77" s="90"/>
      <c r="D77" s="9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Availability</vt:lpstr>
      <vt:lpstr>Flex Office Spaces</vt:lpstr>
      <vt:lpstr>Contacts</vt:lpstr>
      <vt:lpstr>Inventory Update</vt:lpstr>
      <vt:lpstr>Min-Max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S/IND</dc:creator>
  <cp:lastModifiedBy>Krishna KB/IND</cp:lastModifiedBy>
  <dcterms:created xsi:type="dcterms:W3CDTF">2025-07-28T11:13:10Z</dcterms:created>
  <dcterms:modified xsi:type="dcterms:W3CDTF">2026-01-30T14:11:06Z</dcterms:modified>
</cp:coreProperties>
</file>